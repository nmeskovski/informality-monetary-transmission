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meskovski/Documents/University/BSc Applied Economics/Semesters/Study semester 6/Project 3/materials/figures/descriptive_tables/manually_created/"/>
    </mc:Choice>
  </mc:AlternateContent>
  <xr:revisionPtr revIDLastSave="0" documentId="13_ncr:1_{E0C6A2BF-F353-844A-8C01-5A77FA4C0F6E}" xr6:coauthVersionLast="47" xr6:coauthVersionMax="47" xr10:uidLastSave="{00000000-0000-0000-0000-000000000000}"/>
  <bookViews>
    <workbookView xWindow="1980" yWindow="1260" windowWidth="27420" windowHeight="16740" activeTab="1" xr2:uid="{81A6DB7A-838A-4241-B5B6-4E32B62C99D2}"/>
  </bookViews>
  <sheets>
    <sheet name="ALL" sheetId="1" r:id="rId1"/>
    <sheet name="Combined" sheetId="3" r:id="rId2"/>
    <sheet name="Combined Shor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H3" i="3"/>
  <c r="I3" i="3"/>
  <c r="G4" i="3"/>
  <c r="H4" i="3"/>
  <c r="I4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H2" i="3"/>
  <c r="I2" i="3"/>
  <c r="G2" i="3"/>
  <c r="D9" i="3"/>
  <c r="D10" i="3"/>
  <c r="D11" i="3"/>
  <c r="D12" i="3"/>
  <c r="D2" i="3"/>
  <c r="D17" i="3"/>
  <c r="D16" i="3"/>
  <c r="D15" i="3"/>
  <c r="D14" i="3"/>
  <c r="D13" i="3"/>
  <c r="D8" i="3"/>
  <c r="D7" i="3"/>
  <c r="D6" i="3"/>
  <c r="D5" i="3"/>
  <c r="D4" i="3"/>
  <c r="D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3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I4" i="1"/>
  <c r="H4" i="1"/>
  <c r="I3" i="1"/>
  <c r="H3" i="1"/>
</calcChain>
</file>

<file path=xl/sharedStrings.xml><?xml version="1.0" encoding="utf-8"?>
<sst xmlns="http://schemas.openxmlformats.org/spreadsheetml/2006/main" count="99" uniqueCount="34">
  <si>
    <t>Variable</t>
  </si>
  <si>
    <t>Missing_Obs</t>
  </si>
  <si>
    <t>Total_Obs</t>
  </si>
  <si>
    <t>Missing_Percent</t>
  </si>
  <si>
    <t>Informal employment, percent of total employment</t>
  </si>
  <si>
    <t>Bank lending-deposit interest rate spread</t>
  </si>
  <si>
    <t>Real interest rate: Bank lending rate minus inflation</t>
  </si>
  <si>
    <t>Shadow economy, percent of GDP</t>
  </si>
  <si>
    <t>Tax rate, percent of commercial profits</t>
  </si>
  <si>
    <t>Informal economy, MIMIC method</t>
  </si>
  <si>
    <t>Domestic credit to the private sector, percent of GDP</t>
  </si>
  <si>
    <t>Inflation: percent change in the Consumer Price Index</t>
  </si>
  <si>
    <t>Household consumption as percent of GDP</t>
  </si>
  <si>
    <t>Political rights index, 7 (weak) - 1 (strong)</t>
  </si>
  <si>
    <t>Regulatory quality index (-2.5 weak; 2.5 strong)</t>
  </si>
  <si>
    <t>Control of corruption (-2.5 weak; 2.5 strong)</t>
  </si>
  <si>
    <t>Voice and accountability index (-2.5 weak; 2.5 strong)</t>
  </si>
  <si>
    <t>Political stability index (-2.5 weak; 2.5 strong)</t>
  </si>
  <si>
    <t>Economic growth: the rate of change of real GDP</t>
  </si>
  <si>
    <t>Country</t>
  </si>
  <si>
    <t>Code</t>
  </si>
  <si>
    <t>ContinentCode</t>
  </si>
  <si>
    <t>Year</t>
  </si>
  <si>
    <t>GDP per capita, current U.S. dollars</t>
  </si>
  <si>
    <t>DevelopmentStatus</t>
  </si>
  <si>
    <t>DevelopmentStatus_binary</t>
  </si>
  <si>
    <t>Developed</t>
  </si>
  <si>
    <t>Emerging</t>
  </si>
  <si>
    <t>MPS</t>
  </si>
  <si>
    <t>Total Combined</t>
  </si>
  <si>
    <t>Combined</t>
  </si>
  <si>
    <t>Developed Missing Percent</t>
  </si>
  <si>
    <t>Emerging Missing Percent</t>
  </si>
  <si>
    <t>Total Missing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</si>
</sst>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0" fillId="0" borderId="15" xfId="0" applyNumberFormat="1" applyBorder="1"/>
    <xf numFmtId="2" fontId="0" fillId="0" borderId="6" xfId="0" applyNumberFormat="1" applyBorder="1"/>
    <xf numFmtId="1" fontId="0" fillId="0" borderId="6" xfId="0" applyNumberFormat="1" applyBorder="1"/>
    <xf numFmtId="1" fontId="0" fillId="0" borderId="8" xfId="0" applyNumberFormat="1" applyBorder="1"/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BD3E-B8AC-F34B-AE58-1BEA00C83DDB}">
  <dimension ref="A1:J25"/>
  <sheetViews>
    <sheetView zoomScale="118" workbookViewId="0">
      <selection sqref="A1:XFD1048576"/>
    </sheetView>
  </sheetViews>
  <sheetFormatPr baseColWidth="10" defaultRowHeight="16" x14ac:dyDescent="0.2"/>
  <cols>
    <col min="1" max="1" width="44.83203125" bestFit="1" customWidth="1"/>
    <col min="2" max="10" width="16.33203125" customWidth="1"/>
  </cols>
  <sheetData>
    <row r="1" spans="1:10" ht="25" thickBot="1" x14ac:dyDescent="0.35">
      <c r="B1" s="31" t="s">
        <v>26</v>
      </c>
      <c r="C1" s="32"/>
      <c r="D1" s="33"/>
      <c r="E1" s="31" t="s">
        <v>27</v>
      </c>
      <c r="F1" s="32"/>
      <c r="G1" s="33"/>
      <c r="H1" s="31" t="s">
        <v>29</v>
      </c>
      <c r="I1" s="32"/>
      <c r="J1" s="33"/>
    </row>
    <row r="2" spans="1:10" ht="25" thickBot="1" x14ac:dyDescent="0.25">
      <c r="A2" s="8" t="s">
        <v>0</v>
      </c>
      <c r="B2" s="9" t="s">
        <v>1</v>
      </c>
      <c r="C2" s="10" t="s">
        <v>2</v>
      </c>
      <c r="D2" s="11" t="s">
        <v>3</v>
      </c>
      <c r="E2" s="9" t="s">
        <v>1</v>
      </c>
      <c r="F2" s="10" t="s">
        <v>2</v>
      </c>
      <c r="G2" s="11" t="s">
        <v>3</v>
      </c>
      <c r="H2" s="17" t="s">
        <v>1</v>
      </c>
      <c r="I2" s="18" t="s">
        <v>2</v>
      </c>
      <c r="J2" s="16" t="s">
        <v>3</v>
      </c>
    </row>
    <row r="3" spans="1:10" x14ac:dyDescent="0.2">
      <c r="A3" s="12" t="s">
        <v>4</v>
      </c>
      <c r="B3" s="13">
        <v>1069</v>
      </c>
      <c r="C3" s="14">
        <v>1092</v>
      </c>
      <c r="D3" s="15">
        <v>97.89</v>
      </c>
      <c r="E3" s="13">
        <v>2311</v>
      </c>
      <c r="F3" s="14">
        <v>2774</v>
      </c>
      <c r="G3" s="15">
        <v>83.31</v>
      </c>
      <c r="H3" s="13">
        <f>B3+E3</f>
        <v>3380</v>
      </c>
      <c r="I3" s="14">
        <f>C3+F3</f>
        <v>3866</v>
      </c>
      <c r="J3" s="19">
        <f>((D3*C3)+(F3*G3))/I3</f>
        <v>87.428303155716506</v>
      </c>
    </row>
    <row r="4" spans="1:10" x14ac:dyDescent="0.2">
      <c r="A4" s="1" t="s">
        <v>5</v>
      </c>
      <c r="B4" s="3">
        <v>676</v>
      </c>
      <c r="C4">
        <v>1092</v>
      </c>
      <c r="D4" s="5">
        <v>61.9</v>
      </c>
      <c r="E4" s="3">
        <v>1040</v>
      </c>
      <c r="F4">
        <v>2774</v>
      </c>
      <c r="G4" s="5">
        <v>37.49</v>
      </c>
      <c r="H4" s="3">
        <f>B4+E4</f>
        <v>1716</v>
      </c>
      <c r="I4">
        <f>C4+F4</f>
        <v>3866</v>
      </c>
      <c r="J4" s="20">
        <f t="shared" ref="J4:J25" si="0">((D4*C4)+(F4*G4))/I4</f>
        <v>44.384909467149505</v>
      </c>
    </row>
    <row r="5" spans="1:10" x14ac:dyDescent="0.2">
      <c r="A5" s="1" t="s">
        <v>6</v>
      </c>
      <c r="B5" s="3">
        <v>564</v>
      </c>
      <c r="C5">
        <v>1092</v>
      </c>
      <c r="D5" s="5">
        <v>51.65</v>
      </c>
      <c r="E5" s="3">
        <v>781</v>
      </c>
      <c r="F5">
        <v>2774</v>
      </c>
      <c r="G5" s="5">
        <v>28.15</v>
      </c>
      <c r="H5" s="3">
        <f t="shared" ref="H5:H25" si="1">B5+E5</f>
        <v>1345</v>
      </c>
      <c r="I5">
        <f t="shared" ref="I5:I25" si="2">C5+F5</f>
        <v>3866</v>
      </c>
      <c r="J5" s="20">
        <f t="shared" si="0"/>
        <v>34.787868598034144</v>
      </c>
    </row>
    <row r="6" spans="1:10" x14ac:dyDescent="0.2">
      <c r="A6" s="1" t="s">
        <v>7</v>
      </c>
      <c r="B6" s="3">
        <v>437</v>
      </c>
      <c r="C6">
        <v>1092</v>
      </c>
      <c r="D6" s="5">
        <v>40.020000000000003</v>
      </c>
      <c r="E6" s="3">
        <v>922</v>
      </c>
      <c r="F6">
        <v>2774</v>
      </c>
      <c r="G6" s="5">
        <v>33.24</v>
      </c>
      <c r="H6" s="3">
        <f t="shared" si="1"/>
        <v>1359</v>
      </c>
      <c r="I6">
        <f t="shared" si="2"/>
        <v>3866</v>
      </c>
      <c r="J6" s="20">
        <f t="shared" si="0"/>
        <v>35.155095706156239</v>
      </c>
    </row>
    <row r="7" spans="1:10" x14ac:dyDescent="0.2">
      <c r="A7" s="1" t="s">
        <v>8</v>
      </c>
      <c r="B7" s="3">
        <v>376</v>
      </c>
      <c r="C7">
        <v>1092</v>
      </c>
      <c r="D7" s="5">
        <v>34.43</v>
      </c>
      <c r="E7" s="3">
        <v>891</v>
      </c>
      <c r="F7">
        <v>2774</v>
      </c>
      <c r="G7" s="5">
        <v>32.119999999999997</v>
      </c>
      <c r="H7" s="3">
        <f t="shared" si="1"/>
        <v>1267</v>
      </c>
      <c r="I7">
        <f t="shared" si="2"/>
        <v>3866</v>
      </c>
      <c r="J7" s="20">
        <f t="shared" si="0"/>
        <v>32.772488360062077</v>
      </c>
    </row>
    <row r="8" spans="1:10" x14ac:dyDescent="0.2">
      <c r="A8" s="1" t="s">
        <v>28</v>
      </c>
      <c r="B8" s="3">
        <v>294</v>
      </c>
      <c r="C8">
        <v>1092</v>
      </c>
      <c r="D8" s="5">
        <v>26.92</v>
      </c>
      <c r="E8" s="3">
        <v>704</v>
      </c>
      <c r="F8">
        <v>2774</v>
      </c>
      <c r="G8" s="5">
        <v>25.38</v>
      </c>
      <c r="H8" s="3">
        <f t="shared" si="1"/>
        <v>998</v>
      </c>
      <c r="I8">
        <f t="shared" si="2"/>
        <v>3866</v>
      </c>
      <c r="J8" s="20">
        <f t="shared" si="0"/>
        <v>25.814992240041384</v>
      </c>
    </row>
    <row r="9" spans="1:10" x14ac:dyDescent="0.2">
      <c r="A9" s="1" t="s">
        <v>9</v>
      </c>
      <c r="B9" s="3">
        <v>262</v>
      </c>
      <c r="C9">
        <v>1092</v>
      </c>
      <c r="D9" s="5">
        <v>23.99</v>
      </c>
      <c r="E9" s="3">
        <v>458</v>
      </c>
      <c r="F9">
        <v>2774</v>
      </c>
      <c r="G9" s="5">
        <v>16.510000000000002</v>
      </c>
      <c r="H9" s="3">
        <f t="shared" si="1"/>
        <v>720</v>
      </c>
      <c r="I9">
        <f t="shared" si="2"/>
        <v>3866</v>
      </c>
      <c r="J9" s="20">
        <f t="shared" si="0"/>
        <v>18.622819451629592</v>
      </c>
    </row>
    <row r="10" spans="1:10" x14ac:dyDescent="0.2">
      <c r="A10" s="1" t="s">
        <v>10</v>
      </c>
      <c r="B10" s="3">
        <v>242</v>
      </c>
      <c r="C10">
        <v>1092</v>
      </c>
      <c r="D10" s="5">
        <v>22.16</v>
      </c>
      <c r="E10" s="3">
        <v>464</v>
      </c>
      <c r="F10">
        <v>2774</v>
      </c>
      <c r="G10" s="5">
        <v>16.73</v>
      </c>
      <c r="H10" s="3">
        <f t="shared" si="1"/>
        <v>706</v>
      </c>
      <c r="I10">
        <f t="shared" si="2"/>
        <v>3866</v>
      </c>
      <c r="J10" s="20">
        <f t="shared" si="0"/>
        <v>18.263771339886187</v>
      </c>
    </row>
    <row r="11" spans="1:10" x14ac:dyDescent="0.2">
      <c r="A11" s="1" t="s">
        <v>11</v>
      </c>
      <c r="B11" s="3">
        <v>147</v>
      </c>
      <c r="C11">
        <v>1092</v>
      </c>
      <c r="D11" s="5">
        <v>13.46</v>
      </c>
      <c r="E11" s="3">
        <v>199</v>
      </c>
      <c r="F11">
        <v>2774</v>
      </c>
      <c r="G11" s="5">
        <v>7.17</v>
      </c>
      <c r="H11" s="3">
        <f t="shared" si="1"/>
        <v>346</v>
      </c>
      <c r="I11">
        <f t="shared" si="2"/>
        <v>3866</v>
      </c>
      <c r="J11" s="20">
        <f t="shared" si="0"/>
        <v>8.9466890843248841</v>
      </c>
    </row>
    <row r="12" spans="1:10" x14ac:dyDescent="0.2">
      <c r="A12" s="1" t="s">
        <v>13</v>
      </c>
      <c r="B12" s="3">
        <v>137</v>
      </c>
      <c r="C12">
        <v>1092</v>
      </c>
      <c r="D12" s="5">
        <v>12.55</v>
      </c>
      <c r="E12" s="3">
        <v>34</v>
      </c>
      <c r="F12">
        <v>2774</v>
      </c>
      <c r="G12" s="5">
        <v>1.23</v>
      </c>
      <c r="H12" s="3">
        <f t="shared" si="1"/>
        <v>171</v>
      </c>
      <c r="I12">
        <f t="shared" si="2"/>
        <v>3866</v>
      </c>
      <c r="J12" s="20">
        <f t="shared" si="0"/>
        <v>4.4274754267977237</v>
      </c>
    </row>
    <row r="13" spans="1:10" x14ac:dyDescent="0.2">
      <c r="A13" s="1" t="s">
        <v>12</v>
      </c>
      <c r="B13" s="3">
        <v>136</v>
      </c>
      <c r="C13">
        <v>1092</v>
      </c>
      <c r="D13" s="5">
        <v>12.45</v>
      </c>
      <c r="E13" s="3">
        <v>447</v>
      </c>
      <c r="F13">
        <v>2774</v>
      </c>
      <c r="G13" s="5">
        <v>16.11</v>
      </c>
      <c r="H13" s="3">
        <f t="shared" si="1"/>
        <v>583</v>
      </c>
      <c r="I13">
        <f t="shared" si="2"/>
        <v>3866</v>
      </c>
      <c r="J13" s="20">
        <f t="shared" si="0"/>
        <v>15.076187273667873</v>
      </c>
    </row>
    <row r="14" spans="1:10" x14ac:dyDescent="0.2">
      <c r="A14" s="1" t="s">
        <v>15</v>
      </c>
      <c r="B14" s="3">
        <v>108</v>
      </c>
      <c r="C14">
        <v>1092</v>
      </c>
      <c r="D14" s="5">
        <v>9.89</v>
      </c>
      <c r="E14" s="3">
        <v>180</v>
      </c>
      <c r="F14">
        <v>2774</v>
      </c>
      <c r="G14" s="5">
        <v>6.49</v>
      </c>
      <c r="H14" s="3">
        <f t="shared" si="1"/>
        <v>288</v>
      </c>
      <c r="I14">
        <f t="shared" si="2"/>
        <v>3866</v>
      </c>
      <c r="J14" s="20">
        <f t="shared" si="0"/>
        <v>7.4503724780134517</v>
      </c>
    </row>
    <row r="15" spans="1:10" x14ac:dyDescent="0.2">
      <c r="A15" s="1" t="s">
        <v>14</v>
      </c>
      <c r="B15" s="3">
        <v>108</v>
      </c>
      <c r="C15">
        <v>1092</v>
      </c>
      <c r="D15" s="5">
        <v>9.89</v>
      </c>
      <c r="E15" s="3">
        <v>190</v>
      </c>
      <c r="F15">
        <v>2774</v>
      </c>
      <c r="G15" s="5">
        <v>6.85</v>
      </c>
      <c r="H15" s="3">
        <f t="shared" si="1"/>
        <v>298</v>
      </c>
      <c r="I15">
        <f t="shared" si="2"/>
        <v>3866</v>
      </c>
      <c r="J15" s="20">
        <f t="shared" si="0"/>
        <v>7.7086859803414383</v>
      </c>
    </row>
    <row r="16" spans="1:10" x14ac:dyDescent="0.2">
      <c r="A16" s="1" t="s">
        <v>17</v>
      </c>
      <c r="B16" s="3">
        <v>82</v>
      </c>
      <c r="C16">
        <v>1092</v>
      </c>
      <c r="D16" s="5">
        <v>7.51</v>
      </c>
      <c r="E16" s="3">
        <v>165</v>
      </c>
      <c r="F16">
        <v>2774</v>
      </c>
      <c r="G16" s="5">
        <v>5.95</v>
      </c>
      <c r="H16" s="3">
        <f t="shared" si="1"/>
        <v>247</v>
      </c>
      <c r="I16">
        <f t="shared" si="2"/>
        <v>3866</v>
      </c>
      <c r="J16" s="20">
        <f t="shared" si="0"/>
        <v>6.3906414899120545</v>
      </c>
    </row>
    <row r="17" spans="1:10" x14ac:dyDescent="0.2">
      <c r="A17" s="1" t="s">
        <v>16</v>
      </c>
      <c r="B17" s="3">
        <v>80</v>
      </c>
      <c r="C17">
        <v>1092</v>
      </c>
      <c r="D17" s="5">
        <v>7.33</v>
      </c>
      <c r="E17" s="3">
        <v>155</v>
      </c>
      <c r="F17">
        <v>2774</v>
      </c>
      <c r="G17" s="5">
        <v>5.59</v>
      </c>
      <c r="H17" s="3">
        <f t="shared" si="1"/>
        <v>235</v>
      </c>
      <c r="I17">
        <f t="shared" si="2"/>
        <v>3866</v>
      </c>
      <c r="J17" s="20">
        <f t="shared" si="0"/>
        <v>6.0814847387480597</v>
      </c>
    </row>
    <row r="18" spans="1:10" x14ac:dyDescent="0.2">
      <c r="A18" s="1" t="s">
        <v>18</v>
      </c>
      <c r="B18" s="3">
        <v>36</v>
      </c>
      <c r="C18">
        <v>1092</v>
      </c>
      <c r="D18" s="5">
        <v>3.3</v>
      </c>
      <c r="E18" s="3">
        <v>15</v>
      </c>
      <c r="F18">
        <v>2774</v>
      </c>
      <c r="G18" s="5">
        <v>0.54</v>
      </c>
      <c r="H18" s="3">
        <f t="shared" si="1"/>
        <v>51</v>
      </c>
      <c r="I18">
        <f t="shared" si="2"/>
        <v>3866</v>
      </c>
      <c r="J18" s="20">
        <f t="shared" si="0"/>
        <v>1.3195964821520951</v>
      </c>
    </row>
    <row r="19" spans="1:10" x14ac:dyDescent="0.2">
      <c r="A19" s="1" t="s">
        <v>20</v>
      </c>
      <c r="B19" s="3">
        <v>0</v>
      </c>
      <c r="C19">
        <v>1092</v>
      </c>
      <c r="D19" s="5">
        <v>0</v>
      </c>
      <c r="E19" s="3">
        <v>0</v>
      </c>
      <c r="F19">
        <v>2774</v>
      </c>
      <c r="G19" s="5">
        <v>0</v>
      </c>
      <c r="H19" s="3">
        <f t="shared" si="1"/>
        <v>0</v>
      </c>
      <c r="I19">
        <f t="shared" si="2"/>
        <v>3866</v>
      </c>
      <c r="J19" s="21">
        <f t="shared" si="0"/>
        <v>0</v>
      </c>
    </row>
    <row r="20" spans="1:10" x14ac:dyDescent="0.2">
      <c r="A20" s="1" t="s">
        <v>21</v>
      </c>
      <c r="B20" s="3">
        <v>0</v>
      </c>
      <c r="C20">
        <v>1092</v>
      </c>
      <c r="D20" s="5">
        <v>0</v>
      </c>
      <c r="E20" s="3">
        <v>0</v>
      </c>
      <c r="F20">
        <v>2774</v>
      </c>
      <c r="G20" s="5">
        <v>0</v>
      </c>
      <c r="H20" s="3">
        <f t="shared" si="1"/>
        <v>0</v>
      </c>
      <c r="I20">
        <f t="shared" si="2"/>
        <v>3866</v>
      </c>
      <c r="J20" s="21">
        <f t="shared" si="0"/>
        <v>0</v>
      </c>
    </row>
    <row r="21" spans="1:10" x14ac:dyDescent="0.2">
      <c r="A21" s="1" t="s">
        <v>19</v>
      </c>
      <c r="B21" s="3">
        <v>0</v>
      </c>
      <c r="C21">
        <v>1092</v>
      </c>
      <c r="D21" s="5">
        <v>0</v>
      </c>
      <c r="E21" s="3">
        <v>0</v>
      </c>
      <c r="F21">
        <v>2774</v>
      </c>
      <c r="G21" s="5">
        <v>0</v>
      </c>
      <c r="H21" s="3">
        <f t="shared" si="1"/>
        <v>0</v>
      </c>
      <c r="I21">
        <f t="shared" si="2"/>
        <v>3866</v>
      </c>
      <c r="J21" s="21">
        <f t="shared" si="0"/>
        <v>0</v>
      </c>
    </row>
    <row r="22" spans="1:10" x14ac:dyDescent="0.2">
      <c r="A22" s="1" t="s">
        <v>24</v>
      </c>
      <c r="B22" s="3">
        <v>0</v>
      </c>
      <c r="C22">
        <v>1092</v>
      </c>
      <c r="D22" s="5">
        <v>0</v>
      </c>
      <c r="E22" s="3">
        <v>0</v>
      </c>
      <c r="F22">
        <v>2774</v>
      </c>
      <c r="G22" s="5">
        <v>0</v>
      </c>
      <c r="H22" s="3">
        <f t="shared" si="1"/>
        <v>0</v>
      </c>
      <c r="I22">
        <f t="shared" si="2"/>
        <v>3866</v>
      </c>
      <c r="J22" s="21">
        <f t="shared" si="0"/>
        <v>0</v>
      </c>
    </row>
    <row r="23" spans="1:10" x14ac:dyDescent="0.2">
      <c r="A23" s="1" t="s">
        <v>25</v>
      </c>
      <c r="B23" s="3">
        <v>0</v>
      </c>
      <c r="C23">
        <v>1092</v>
      </c>
      <c r="D23" s="5">
        <v>0</v>
      </c>
      <c r="E23" s="3">
        <v>0</v>
      </c>
      <c r="F23">
        <v>2774</v>
      </c>
      <c r="G23" s="5">
        <v>0</v>
      </c>
      <c r="H23" s="3">
        <f t="shared" si="1"/>
        <v>0</v>
      </c>
      <c r="I23">
        <f t="shared" si="2"/>
        <v>3866</v>
      </c>
      <c r="J23" s="21">
        <f t="shared" si="0"/>
        <v>0</v>
      </c>
    </row>
    <row r="24" spans="1:10" x14ac:dyDescent="0.2">
      <c r="A24" s="1" t="s">
        <v>23</v>
      </c>
      <c r="B24" s="3">
        <v>0</v>
      </c>
      <c r="C24">
        <v>1092</v>
      </c>
      <c r="D24" s="5">
        <v>0</v>
      </c>
      <c r="E24" s="3">
        <v>0</v>
      </c>
      <c r="F24">
        <v>2774</v>
      </c>
      <c r="G24" s="5">
        <v>0</v>
      </c>
      <c r="H24" s="3">
        <f t="shared" si="1"/>
        <v>0</v>
      </c>
      <c r="I24">
        <f t="shared" si="2"/>
        <v>3866</v>
      </c>
      <c r="J24" s="21">
        <f t="shared" si="0"/>
        <v>0</v>
      </c>
    </row>
    <row r="25" spans="1:10" ht="17" thickBot="1" x14ac:dyDescent="0.25">
      <c r="A25" s="2" t="s">
        <v>22</v>
      </c>
      <c r="B25" s="4">
        <v>0</v>
      </c>
      <c r="C25" s="6">
        <v>1092</v>
      </c>
      <c r="D25" s="7">
        <v>0</v>
      </c>
      <c r="E25" s="4">
        <v>0</v>
      </c>
      <c r="F25" s="6">
        <v>2774</v>
      </c>
      <c r="G25" s="7">
        <v>0</v>
      </c>
      <c r="H25" s="4">
        <f t="shared" si="1"/>
        <v>0</v>
      </c>
      <c r="I25" s="6">
        <f t="shared" si="2"/>
        <v>3866</v>
      </c>
      <c r="J25" s="22">
        <f t="shared" si="0"/>
        <v>0</v>
      </c>
    </row>
  </sheetData>
  <sortState xmlns:xlrd2="http://schemas.microsoft.com/office/spreadsheetml/2017/richdata2" ref="A3:G25">
    <sortCondition descending="1" ref="D3:D25"/>
  </sortState>
  <mergeCells count="3">
    <mergeCell ref="B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BA87-60E0-004F-AE11-E310680A2A91}">
  <dimension ref="A1:I17"/>
  <sheetViews>
    <sheetView tabSelected="1" workbookViewId="0">
      <selection activeCell="D31" sqref="D31"/>
    </sheetView>
  </sheetViews>
  <sheetFormatPr baseColWidth="10" defaultRowHeight="16" x14ac:dyDescent="0.2"/>
  <cols>
    <col min="2" max="4" width="30.83203125" customWidth="1"/>
    <col min="7" max="9" width="23.5" customWidth="1"/>
  </cols>
  <sheetData>
    <row r="1" spans="1:9" ht="17" thickBot="1" x14ac:dyDescent="0.25">
      <c r="A1" s="39" t="s">
        <v>0</v>
      </c>
      <c r="B1" s="11" t="s">
        <v>31</v>
      </c>
      <c r="C1" s="10" t="s">
        <v>32</v>
      </c>
      <c r="D1" s="39" t="s">
        <v>33</v>
      </c>
      <c r="F1" s="39" t="s">
        <v>0</v>
      </c>
      <c r="G1" s="11" t="s">
        <v>31</v>
      </c>
      <c r="H1" s="10" t="s">
        <v>32</v>
      </c>
      <c r="I1" s="39" t="s">
        <v>33</v>
      </c>
    </row>
    <row r="2" spans="1:9" x14ac:dyDescent="0.2">
      <c r="A2" s="25" t="s">
        <v>4</v>
      </c>
      <c r="B2" s="26">
        <v>99.54</v>
      </c>
      <c r="C2" s="34">
        <v>82.82</v>
      </c>
      <c r="D2" s="37">
        <f>((B2*1080)+(C2*2800))/3880</f>
        <v>87.474020618556693</v>
      </c>
      <c r="F2" s="25" t="s">
        <v>4</v>
      </c>
      <c r="G2" s="40">
        <f>B2/100</f>
        <v>0.99540000000000006</v>
      </c>
      <c r="H2" s="40">
        <f t="shared" ref="H2:I2" si="0">C2/100</f>
        <v>0.82819999999999994</v>
      </c>
      <c r="I2" s="41">
        <f t="shared" si="0"/>
        <v>0.87474020618556692</v>
      </c>
    </row>
    <row r="3" spans="1:9" x14ac:dyDescent="0.2">
      <c r="A3" s="27" t="s">
        <v>5</v>
      </c>
      <c r="B3" s="28">
        <v>62.5</v>
      </c>
      <c r="C3" s="35">
        <v>37.57</v>
      </c>
      <c r="D3" s="37">
        <f t="shared" ref="D3:D17" si="1">((B3*1080)+(C3*2800))/3880</f>
        <v>44.509278350515466</v>
      </c>
      <c r="F3" s="27" t="s">
        <v>5</v>
      </c>
      <c r="G3" s="40">
        <f t="shared" ref="G3:G17" si="2">B3/100</f>
        <v>0.625</v>
      </c>
      <c r="H3" s="40">
        <f t="shared" ref="H3:H17" si="3">C3/100</f>
        <v>0.37569999999999998</v>
      </c>
      <c r="I3" s="41">
        <f t="shared" ref="I3:I17" si="4">D3/100</f>
        <v>0.44509278350515463</v>
      </c>
    </row>
    <row r="4" spans="1:9" x14ac:dyDescent="0.2">
      <c r="A4" s="27" t="s">
        <v>6</v>
      </c>
      <c r="B4" s="28">
        <v>51.76</v>
      </c>
      <c r="C4" s="35">
        <v>28.57</v>
      </c>
      <c r="D4" s="37">
        <f t="shared" si="1"/>
        <v>35.024948453608246</v>
      </c>
      <c r="F4" s="27" t="s">
        <v>6</v>
      </c>
      <c r="G4" s="40">
        <f t="shared" si="2"/>
        <v>0.51759999999999995</v>
      </c>
      <c r="H4" s="40">
        <f t="shared" si="3"/>
        <v>0.28570000000000001</v>
      </c>
      <c r="I4" s="41">
        <f t="shared" si="4"/>
        <v>0.35024948453608246</v>
      </c>
    </row>
    <row r="5" spans="1:9" x14ac:dyDescent="0.2">
      <c r="A5" s="27" t="s">
        <v>8</v>
      </c>
      <c r="B5" s="28">
        <v>40.19</v>
      </c>
      <c r="C5" s="35">
        <v>29.75</v>
      </c>
      <c r="D5" s="37">
        <f t="shared" si="1"/>
        <v>32.655979381443295</v>
      </c>
      <c r="F5" s="27" t="s">
        <v>8</v>
      </c>
      <c r="G5" s="40">
        <f t="shared" si="2"/>
        <v>0.40189999999999998</v>
      </c>
      <c r="H5" s="40">
        <f t="shared" si="3"/>
        <v>0.29749999999999999</v>
      </c>
      <c r="I5" s="41">
        <f t="shared" si="4"/>
        <v>0.32655979381443295</v>
      </c>
    </row>
    <row r="6" spans="1:9" x14ac:dyDescent="0.2">
      <c r="A6" s="27" t="s">
        <v>7</v>
      </c>
      <c r="B6" s="28">
        <v>37.78</v>
      </c>
      <c r="C6" s="35">
        <v>34.29</v>
      </c>
      <c r="D6" s="37">
        <f t="shared" si="1"/>
        <v>35.26144329896907</v>
      </c>
      <c r="F6" s="27" t="s">
        <v>7</v>
      </c>
      <c r="G6" s="40">
        <f t="shared" si="2"/>
        <v>0.37780000000000002</v>
      </c>
      <c r="H6" s="40">
        <f t="shared" si="3"/>
        <v>0.34289999999999998</v>
      </c>
      <c r="I6" s="41">
        <f t="shared" si="4"/>
        <v>0.3526144329896907</v>
      </c>
    </row>
    <row r="7" spans="1:9" x14ac:dyDescent="0.2">
      <c r="A7" s="27" t="s">
        <v>28</v>
      </c>
      <c r="B7" s="28">
        <v>27.78</v>
      </c>
      <c r="C7" s="35">
        <v>25.14</v>
      </c>
      <c r="D7" s="37">
        <f t="shared" si="1"/>
        <v>25.87484536082474</v>
      </c>
      <c r="F7" s="27" t="s">
        <v>28</v>
      </c>
      <c r="G7" s="40">
        <f t="shared" si="2"/>
        <v>0.27779999999999999</v>
      </c>
      <c r="H7" s="40">
        <f t="shared" si="3"/>
        <v>0.25140000000000001</v>
      </c>
      <c r="I7" s="41">
        <f t="shared" si="4"/>
        <v>0.25874845360824739</v>
      </c>
    </row>
    <row r="8" spans="1:9" x14ac:dyDescent="0.2">
      <c r="A8" s="27" t="s">
        <v>9</v>
      </c>
      <c r="B8" s="28">
        <v>24.07</v>
      </c>
      <c r="C8" s="35">
        <v>16.43</v>
      </c>
      <c r="D8" s="37">
        <f t="shared" si="1"/>
        <v>18.556597938144332</v>
      </c>
      <c r="F8" s="27" t="s">
        <v>9</v>
      </c>
      <c r="G8" s="40">
        <f t="shared" si="2"/>
        <v>0.2407</v>
      </c>
      <c r="H8" s="40">
        <f t="shared" si="3"/>
        <v>0.1643</v>
      </c>
      <c r="I8" s="41">
        <f t="shared" si="4"/>
        <v>0.18556597938144331</v>
      </c>
    </row>
    <row r="9" spans="1:9" x14ac:dyDescent="0.2">
      <c r="A9" s="27" t="s">
        <v>10</v>
      </c>
      <c r="B9" s="28">
        <v>23.61</v>
      </c>
      <c r="C9" s="35">
        <v>16.5</v>
      </c>
      <c r="D9" s="37">
        <f t="shared" si="1"/>
        <v>18.479072164948455</v>
      </c>
      <c r="F9" s="27" t="s">
        <v>10</v>
      </c>
      <c r="G9" s="40">
        <f t="shared" si="2"/>
        <v>0.2361</v>
      </c>
      <c r="H9" s="40">
        <f t="shared" si="3"/>
        <v>0.16500000000000001</v>
      </c>
      <c r="I9" s="41">
        <f t="shared" si="4"/>
        <v>0.18479072164948454</v>
      </c>
    </row>
    <row r="10" spans="1:9" x14ac:dyDescent="0.2">
      <c r="A10" s="27" t="s">
        <v>12</v>
      </c>
      <c r="B10" s="28">
        <v>13.7</v>
      </c>
      <c r="C10" s="35">
        <v>16.04</v>
      </c>
      <c r="D10" s="37">
        <f t="shared" si="1"/>
        <v>15.388659793814433</v>
      </c>
      <c r="F10" s="27" t="s">
        <v>12</v>
      </c>
      <c r="G10" s="40">
        <f t="shared" si="2"/>
        <v>0.13699999999999998</v>
      </c>
      <c r="H10" s="40">
        <f t="shared" si="3"/>
        <v>0.16039999999999999</v>
      </c>
      <c r="I10" s="41">
        <f t="shared" si="4"/>
        <v>0.15388659793814433</v>
      </c>
    </row>
    <row r="11" spans="1:9" x14ac:dyDescent="0.2">
      <c r="A11" s="27" t="s">
        <v>11</v>
      </c>
      <c r="B11" s="28">
        <v>13.61</v>
      </c>
      <c r="C11" s="35">
        <v>7.54</v>
      </c>
      <c r="D11" s="37">
        <f t="shared" si="1"/>
        <v>9.2295876288659802</v>
      </c>
      <c r="F11" s="27" t="s">
        <v>11</v>
      </c>
      <c r="G11" s="40">
        <f t="shared" si="2"/>
        <v>0.1361</v>
      </c>
      <c r="H11" s="40">
        <f t="shared" si="3"/>
        <v>7.5399999999999995E-2</v>
      </c>
      <c r="I11" s="41">
        <f t="shared" si="4"/>
        <v>9.2295876288659803E-2</v>
      </c>
    </row>
    <row r="12" spans="1:9" x14ac:dyDescent="0.2">
      <c r="A12" s="27" t="s">
        <v>13</v>
      </c>
      <c r="B12" s="28">
        <v>12.69</v>
      </c>
      <c r="C12" s="35">
        <v>1.21</v>
      </c>
      <c r="D12" s="37">
        <f t="shared" si="1"/>
        <v>4.4054639175257728</v>
      </c>
      <c r="F12" s="27" t="s">
        <v>13</v>
      </c>
      <c r="G12" s="40">
        <f t="shared" si="2"/>
        <v>0.12689999999999999</v>
      </c>
      <c r="H12" s="40">
        <f t="shared" si="3"/>
        <v>1.21E-2</v>
      </c>
      <c r="I12" s="41">
        <f t="shared" si="4"/>
        <v>4.4054639175257732E-2</v>
      </c>
    </row>
    <row r="13" spans="1:9" x14ac:dyDescent="0.2">
      <c r="A13" s="27" t="s">
        <v>14</v>
      </c>
      <c r="B13" s="28">
        <v>11.39</v>
      </c>
      <c r="C13" s="35">
        <v>6.25</v>
      </c>
      <c r="D13" s="37">
        <f t="shared" si="1"/>
        <v>7.6807216494845365</v>
      </c>
      <c r="F13" s="27" t="s">
        <v>14</v>
      </c>
      <c r="G13" s="40">
        <f t="shared" si="2"/>
        <v>0.1139</v>
      </c>
      <c r="H13" s="40">
        <f t="shared" si="3"/>
        <v>6.25E-2</v>
      </c>
      <c r="I13" s="41">
        <f t="shared" si="4"/>
        <v>7.6807216494845371E-2</v>
      </c>
    </row>
    <row r="14" spans="1:9" x14ac:dyDescent="0.2">
      <c r="A14" s="27" t="s">
        <v>15</v>
      </c>
      <c r="B14" s="28">
        <v>9.89</v>
      </c>
      <c r="C14" s="35">
        <v>5.89</v>
      </c>
      <c r="D14" s="37">
        <f t="shared" si="1"/>
        <v>7.0034020618556703</v>
      </c>
      <c r="F14" s="27" t="s">
        <v>15</v>
      </c>
      <c r="G14" s="40">
        <f t="shared" si="2"/>
        <v>9.8900000000000002E-2</v>
      </c>
      <c r="H14" s="40">
        <f t="shared" si="3"/>
        <v>5.8899999999999994E-2</v>
      </c>
      <c r="I14" s="41">
        <f t="shared" si="4"/>
        <v>7.0034020618556708E-2</v>
      </c>
    </row>
    <row r="15" spans="1:9" x14ac:dyDescent="0.2">
      <c r="A15" s="27" t="s">
        <v>17</v>
      </c>
      <c r="B15" s="28">
        <v>8.98</v>
      </c>
      <c r="C15" s="35">
        <v>5.36</v>
      </c>
      <c r="D15" s="37">
        <f t="shared" si="1"/>
        <v>6.3676288659793814</v>
      </c>
      <c r="F15" s="27" t="s">
        <v>17</v>
      </c>
      <c r="G15" s="40">
        <f t="shared" si="2"/>
        <v>8.9800000000000005E-2</v>
      </c>
      <c r="H15" s="40">
        <f t="shared" si="3"/>
        <v>5.3600000000000002E-2</v>
      </c>
      <c r="I15" s="41">
        <f t="shared" si="4"/>
        <v>6.3676288659793814E-2</v>
      </c>
    </row>
    <row r="16" spans="1:9" x14ac:dyDescent="0.2">
      <c r="A16" s="27" t="s">
        <v>16</v>
      </c>
      <c r="B16" s="28">
        <v>8.8000000000000007</v>
      </c>
      <c r="C16" s="35">
        <v>5</v>
      </c>
      <c r="D16" s="37">
        <f t="shared" si="1"/>
        <v>6.0577319587628864</v>
      </c>
      <c r="F16" s="27" t="s">
        <v>16</v>
      </c>
      <c r="G16" s="40">
        <f t="shared" si="2"/>
        <v>8.8000000000000009E-2</v>
      </c>
      <c r="H16" s="40">
        <f t="shared" si="3"/>
        <v>0.05</v>
      </c>
      <c r="I16" s="41">
        <f t="shared" si="4"/>
        <v>6.0577319587628867E-2</v>
      </c>
    </row>
    <row r="17" spans="1:9" ht="17" thickBot="1" x14ac:dyDescent="0.25">
      <c r="A17" s="29" t="s">
        <v>18</v>
      </c>
      <c r="B17" s="30">
        <v>3.33</v>
      </c>
      <c r="C17" s="36">
        <v>1.04</v>
      </c>
      <c r="D17" s="38">
        <f t="shared" si="1"/>
        <v>1.6774226804123711</v>
      </c>
      <c r="F17" s="29" t="s">
        <v>18</v>
      </c>
      <c r="G17" s="42">
        <f t="shared" si="2"/>
        <v>3.3300000000000003E-2</v>
      </c>
      <c r="H17" s="42">
        <f t="shared" si="3"/>
        <v>1.04E-2</v>
      </c>
      <c r="I17" s="43">
        <f t="shared" si="4"/>
        <v>1.6774226804123712E-2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FF7E-F67D-644D-9F17-C5AF2B4EDE56}">
  <dimension ref="A1:D18"/>
  <sheetViews>
    <sheetView workbookViewId="0">
      <selection sqref="A1:D18"/>
    </sheetView>
  </sheetViews>
  <sheetFormatPr baseColWidth="10" defaultRowHeight="16" x14ac:dyDescent="0.2"/>
  <cols>
    <col min="1" max="1" width="12.6640625" customWidth="1"/>
    <col min="2" max="4" width="16.33203125" customWidth="1"/>
  </cols>
  <sheetData>
    <row r="1" spans="1:4" ht="20" thickBot="1" x14ac:dyDescent="0.25">
      <c r="B1" s="23" t="s">
        <v>26</v>
      </c>
      <c r="C1" s="24" t="s">
        <v>27</v>
      </c>
      <c r="D1" s="24" t="s">
        <v>30</v>
      </c>
    </row>
    <row r="2" spans="1:4" ht="20" thickBot="1" x14ac:dyDescent="0.25">
      <c r="A2" s="23" t="s">
        <v>0</v>
      </c>
      <c r="B2" s="11" t="s">
        <v>3</v>
      </c>
      <c r="C2" s="10" t="s">
        <v>3</v>
      </c>
      <c r="D2" s="39" t="s">
        <v>3</v>
      </c>
    </row>
    <row r="3" spans="1:4" x14ac:dyDescent="0.2">
      <c r="A3" s="25" t="s">
        <v>4</v>
      </c>
      <c r="B3" s="26">
        <v>99.54</v>
      </c>
      <c r="C3" s="34">
        <v>82.82</v>
      </c>
      <c r="D3" s="37">
        <f>((B3*1080)+(C3*2800))/3880</f>
        <v>87.474020618556693</v>
      </c>
    </row>
    <row r="4" spans="1:4" x14ac:dyDescent="0.2">
      <c r="A4" s="27" t="s">
        <v>5</v>
      </c>
      <c r="B4" s="28">
        <v>62.5</v>
      </c>
      <c r="C4" s="35">
        <v>37.57</v>
      </c>
      <c r="D4" s="37">
        <f t="shared" ref="D4:D18" si="0">((B4*1080)+(C4*2800))/3880</f>
        <v>44.509278350515466</v>
      </c>
    </row>
    <row r="5" spans="1:4" x14ac:dyDescent="0.2">
      <c r="A5" s="27" t="s">
        <v>6</v>
      </c>
      <c r="B5" s="28">
        <v>51.76</v>
      </c>
      <c r="C5" s="35">
        <v>28.57</v>
      </c>
      <c r="D5" s="37">
        <f t="shared" si="0"/>
        <v>35.024948453608246</v>
      </c>
    </row>
    <row r="6" spans="1:4" x14ac:dyDescent="0.2">
      <c r="A6" s="27" t="s">
        <v>8</v>
      </c>
      <c r="B6" s="28">
        <v>40.19</v>
      </c>
      <c r="C6" s="35">
        <v>29.75</v>
      </c>
      <c r="D6" s="37">
        <f t="shared" si="0"/>
        <v>32.655979381443295</v>
      </c>
    </row>
    <row r="7" spans="1:4" x14ac:dyDescent="0.2">
      <c r="A7" s="27" t="s">
        <v>7</v>
      </c>
      <c r="B7" s="28">
        <v>37.78</v>
      </c>
      <c r="C7" s="35">
        <v>34.29</v>
      </c>
      <c r="D7" s="37">
        <f t="shared" si="0"/>
        <v>35.26144329896907</v>
      </c>
    </row>
    <row r="8" spans="1:4" x14ac:dyDescent="0.2">
      <c r="A8" s="27" t="s">
        <v>28</v>
      </c>
      <c r="B8" s="28">
        <v>27.78</v>
      </c>
      <c r="C8" s="35">
        <v>25.14</v>
      </c>
      <c r="D8" s="37">
        <f t="shared" si="0"/>
        <v>25.87484536082474</v>
      </c>
    </row>
    <row r="9" spans="1:4" x14ac:dyDescent="0.2">
      <c r="A9" s="27" t="s">
        <v>9</v>
      </c>
      <c r="B9" s="28">
        <v>24.07</v>
      </c>
      <c r="C9" s="35">
        <v>16.43</v>
      </c>
      <c r="D9" s="37">
        <f t="shared" si="0"/>
        <v>18.556597938144332</v>
      </c>
    </row>
    <row r="10" spans="1:4" x14ac:dyDescent="0.2">
      <c r="A10" s="27" t="s">
        <v>10</v>
      </c>
      <c r="B10" s="28">
        <v>23.61</v>
      </c>
      <c r="C10" s="35">
        <v>16.5</v>
      </c>
      <c r="D10" s="37">
        <f t="shared" si="0"/>
        <v>18.479072164948455</v>
      </c>
    </row>
    <row r="11" spans="1:4" x14ac:dyDescent="0.2">
      <c r="A11" s="27" t="s">
        <v>12</v>
      </c>
      <c r="B11" s="28">
        <v>13.7</v>
      </c>
      <c r="C11" s="35">
        <v>16.04</v>
      </c>
      <c r="D11" s="37">
        <f t="shared" si="0"/>
        <v>15.388659793814433</v>
      </c>
    </row>
    <row r="12" spans="1:4" x14ac:dyDescent="0.2">
      <c r="A12" s="27" t="s">
        <v>11</v>
      </c>
      <c r="B12" s="28">
        <v>13.61</v>
      </c>
      <c r="C12" s="35">
        <v>7.54</v>
      </c>
      <c r="D12" s="37">
        <f t="shared" si="0"/>
        <v>9.2295876288659802</v>
      </c>
    </row>
    <row r="13" spans="1:4" x14ac:dyDescent="0.2">
      <c r="A13" s="27" t="s">
        <v>13</v>
      </c>
      <c r="B13" s="28">
        <v>12.69</v>
      </c>
      <c r="C13" s="35">
        <v>1.21</v>
      </c>
      <c r="D13" s="37">
        <f t="shared" si="0"/>
        <v>4.4054639175257728</v>
      </c>
    </row>
    <row r="14" spans="1:4" x14ac:dyDescent="0.2">
      <c r="A14" s="27" t="s">
        <v>14</v>
      </c>
      <c r="B14" s="28">
        <v>11.39</v>
      </c>
      <c r="C14" s="35">
        <v>6.25</v>
      </c>
      <c r="D14" s="37">
        <f t="shared" si="0"/>
        <v>7.6807216494845365</v>
      </c>
    </row>
    <row r="15" spans="1:4" x14ac:dyDescent="0.2">
      <c r="A15" s="27" t="s">
        <v>15</v>
      </c>
      <c r="B15" s="28">
        <v>9.89</v>
      </c>
      <c r="C15" s="35">
        <v>5.89</v>
      </c>
      <c r="D15" s="37">
        <f t="shared" si="0"/>
        <v>7.0034020618556703</v>
      </c>
    </row>
    <row r="16" spans="1:4" x14ac:dyDescent="0.2">
      <c r="A16" s="27" t="s">
        <v>17</v>
      </c>
      <c r="B16" s="28">
        <v>8.98</v>
      </c>
      <c r="C16" s="35">
        <v>5.36</v>
      </c>
      <c r="D16" s="37">
        <f t="shared" si="0"/>
        <v>6.3676288659793814</v>
      </c>
    </row>
    <row r="17" spans="1:4" x14ac:dyDescent="0.2">
      <c r="A17" s="27" t="s">
        <v>16</v>
      </c>
      <c r="B17" s="28">
        <v>8.8000000000000007</v>
      </c>
      <c r="C17" s="35">
        <v>5</v>
      </c>
      <c r="D17" s="37">
        <f t="shared" si="0"/>
        <v>6.0577319587628864</v>
      </c>
    </row>
    <row r="18" spans="1:4" ht="17" thickBot="1" x14ac:dyDescent="0.25">
      <c r="A18" s="29" t="s">
        <v>18</v>
      </c>
      <c r="B18" s="30">
        <v>3.33</v>
      </c>
      <c r="C18" s="36">
        <v>1.04</v>
      </c>
      <c r="D18" s="38">
        <f t="shared" si="0"/>
        <v>1.6774226804123711</v>
      </c>
    </row>
  </sheetData>
  <sortState xmlns:xlrd2="http://schemas.microsoft.com/office/spreadsheetml/2017/richdata2" ref="A2:D18">
    <sortCondition descending="1" ref="B3: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Combined</vt:lpstr>
      <vt:lpstr>Combined Shorter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Meshkovski Nikola</dc:creator>
  <cp:lastModifiedBy>Meshkovski Nikola</cp:lastModifiedBy>
  <dcterms:created xsi:type="dcterms:W3CDTF">2026-03-17T15:43:03Z</dcterms:created>
  <dcterms:modified xsi:type="dcterms:W3CDTF">2026-04-14T12:42:42Z</dcterms:modified>
</cp:coreProperties>
</file>