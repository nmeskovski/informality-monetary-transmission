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meskovski/Documents/University/BSc Applied Economics/Semesters/Study semester 6/Project 3/materials/code/tables/descriptive_tables/manually_created/"/>
    </mc:Choice>
  </mc:AlternateContent>
  <xr:revisionPtr revIDLastSave="0" documentId="13_ncr:1_{F38CAA4C-9052-FC4D-BF40-FA00F1E0BD47}" xr6:coauthVersionLast="47" xr6:coauthVersionMax="47" xr10:uidLastSave="{00000000-0000-0000-0000-000000000000}"/>
  <bookViews>
    <workbookView xWindow="900" yWindow="760" windowWidth="28500" windowHeight="18360" activeTab="3" xr2:uid="{81A6DB7A-838A-4241-B5B6-4E32B62C99D2}"/>
  </bookViews>
  <sheets>
    <sheet name="ALL" sheetId="1" r:id="rId1"/>
    <sheet name="Developed" sheetId="2" r:id="rId2"/>
    <sheet name="Emerging" sheetId="3" r:id="rId3"/>
    <sheet name="Combin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R7" i="1" s="1"/>
  <c r="N8" i="1"/>
  <c r="Q8" i="1" s="1"/>
  <c r="N9" i="1"/>
  <c r="P9" i="1" s="1"/>
  <c r="N11" i="1"/>
  <c r="P11" i="1" s="1"/>
  <c r="N18" i="1"/>
  <c r="P18" i="1" s="1"/>
  <c r="N4" i="1"/>
  <c r="O4" i="1" s="1"/>
  <c r="N16" i="1"/>
  <c r="O16" i="1" s="1"/>
  <c r="N19" i="1"/>
  <c r="O19" i="1" s="1"/>
  <c r="N14" i="1"/>
  <c r="O14" i="1" s="1"/>
  <c r="N13" i="1"/>
  <c r="S13" i="1" s="1"/>
  <c r="N17" i="1"/>
  <c r="R17" i="1" s="1"/>
  <c r="N10" i="1"/>
  <c r="Q10" i="1" s="1"/>
  <c r="N5" i="1"/>
  <c r="P5" i="1" s="1"/>
  <c r="N3" i="1"/>
  <c r="P3" i="1" s="1"/>
  <c r="N15" i="1"/>
  <c r="P15" i="1" s="1"/>
  <c r="N12" i="1"/>
  <c r="O12" i="1" s="1"/>
  <c r="N6" i="1"/>
  <c r="S6" i="1" s="1"/>
  <c r="P7" i="1" l="1"/>
  <c r="Q17" i="1"/>
  <c r="P8" i="1"/>
  <c r="Q13" i="1"/>
  <c r="O6" i="1"/>
  <c r="P17" i="1"/>
  <c r="P13" i="1"/>
  <c r="O15" i="1"/>
  <c r="R13" i="1"/>
  <c r="O18" i="1"/>
  <c r="R6" i="1"/>
  <c r="Q7" i="1"/>
  <c r="P10" i="1"/>
  <c r="S14" i="1"/>
  <c r="S19" i="1"/>
  <c r="R19" i="1"/>
  <c r="S16" i="1"/>
  <c r="Q19" i="1"/>
  <c r="R16" i="1"/>
  <c r="S12" i="1"/>
  <c r="S4" i="1"/>
  <c r="O11" i="1"/>
  <c r="Q6" i="1"/>
  <c r="Q14" i="1"/>
  <c r="O10" i="1"/>
  <c r="O8" i="1"/>
  <c r="O17" i="1"/>
  <c r="O7" i="1"/>
  <c r="P19" i="1"/>
  <c r="Q16" i="1"/>
  <c r="R12" i="1"/>
  <c r="R4" i="1"/>
  <c r="S15" i="1"/>
  <c r="S18" i="1"/>
  <c r="O3" i="1"/>
  <c r="R14" i="1"/>
  <c r="O5" i="1"/>
  <c r="O9" i="1"/>
  <c r="P6" i="1"/>
  <c r="P14" i="1"/>
  <c r="O13" i="1"/>
  <c r="P16" i="1"/>
  <c r="Q12" i="1"/>
  <c r="Q4" i="1"/>
  <c r="R15" i="1"/>
  <c r="R18" i="1"/>
  <c r="S3" i="1"/>
  <c r="S11" i="1"/>
  <c r="P12" i="1"/>
  <c r="P4" i="1"/>
  <c r="Q15" i="1"/>
  <c r="Q18" i="1"/>
  <c r="R3" i="1"/>
  <c r="R11" i="1"/>
  <c r="S5" i="1"/>
  <c r="S9" i="1"/>
  <c r="Q3" i="1"/>
  <c r="Q11" i="1"/>
  <c r="R5" i="1"/>
  <c r="R9" i="1"/>
  <c r="S10" i="1"/>
  <c r="S8" i="1"/>
  <c r="Q5" i="1"/>
  <c r="Q9" i="1"/>
  <c r="R10" i="1"/>
  <c r="R8" i="1"/>
  <c r="S17" i="1"/>
  <c r="S7" i="1"/>
</calcChain>
</file>

<file path=xl/sharedStrings.xml><?xml version="1.0" encoding="utf-8"?>
<sst xmlns="http://schemas.openxmlformats.org/spreadsheetml/2006/main" count="112" uniqueCount="27">
  <si>
    <t>Variable</t>
  </si>
  <si>
    <t>Informal employment, percent of total employment</t>
  </si>
  <si>
    <t>Bank lending-deposit interest rate spread</t>
  </si>
  <si>
    <t>Real interest rate: Bank lending rate minus inflation</t>
  </si>
  <si>
    <t>Shadow economy, percent of GDP</t>
  </si>
  <si>
    <t>Tax rate, percent of commercial profits</t>
  </si>
  <si>
    <t>Informal economy, MIMIC method</t>
  </si>
  <si>
    <t>Domestic credit to the private sector, percent of GDP</t>
  </si>
  <si>
    <t>Inflation: percent change in the Consumer Price Index</t>
  </si>
  <si>
    <t>Household consumption as percent of GDP</t>
  </si>
  <si>
    <t>Political rights index, 7 (weak) - 1 (strong)</t>
  </si>
  <si>
    <t>Regulatory quality index (-2.5 weak; 2.5 strong)</t>
  </si>
  <si>
    <t>Control of corruption (-2.5 weak; 2.5 strong)</t>
  </si>
  <si>
    <t>Voice and accountability index (-2.5 weak; 2.5 strong)</t>
  </si>
  <si>
    <t>Political stability index (-2.5 weak; 2.5 strong)</t>
  </si>
  <si>
    <t>Economic growth: the rate of change of real GDP</t>
  </si>
  <si>
    <t>GDP per capita, current U.S. dollars</t>
  </si>
  <si>
    <t>Developed</t>
  </si>
  <si>
    <t>Emerging</t>
  </si>
  <si>
    <t>N</t>
  </si>
  <si>
    <t>Mean</t>
  </si>
  <si>
    <t>SD</t>
  </si>
  <si>
    <t>Min</t>
  </si>
  <si>
    <t>Median</t>
  </si>
  <si>
    <t>Max</t>
  </si>
  <si>
    <t>MPS</t>
  </si>
  <si>
    <t>Total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</si>
</sst>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4" xfId="0" applyFill="1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5" xfId="0" applyFill="1" applyBorder="1"/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1" fontId="0" fillId="2" borderId="9" xfId="0" applyNumberFormat="1" applyFill="1" applyBorder="1" applyAlignment="1">
      <alignment horizontal="center" vertical="center"/>
    </xf>
    <xf numFmtId="0" fontId="3" fillId="3" borderId="0" xfId="0" applyFont="1" applyFill="1"/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3" fillId="3" borderId="20" xfId="0" applyFont="1" applyFill="1" applyBorder="1"/>
    <xf numFmtId="0" fontId="3" fillId="3" borderId="21" xfId="0" applyFont="1" applyFill="1" applyBorder="1" applyAlignment="1">
      <alignment horizontal="center" vertical="center"/>
    </xf>
    <xf numFmtId="2" fontId="3" fillId="3" borderId="21" xfId="0" applyNumberFormat="1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1" fontId="3" fillId="3" borderId="21" xfId="0" applyNumberFormat="1" applyFont="1" applyFill="1" applyBorder="1" applyAlignment="1">
      <alignment horizontal="center" vertical="center"/>
    </xf>
    <xf numFmtId="1" fontId="3" fillId="3" borderId="22" xfId="0" applyNumberFormat="1" applyFont="1" applyFill="1" applyBorder="1" applyAlignment="1">
      <alignment horizontal="center" vertical="center"/>
    </xf>
    <xf numFmtId="0" fontId="3" fillId="3" borderId="23" xfId="0" applyFont="1" applyFill="1" applyBorder="1"/>
    <xf numFmtId="0" fontId="3" fillId="3" borderId="18" xfId="0" applyFont="1" applyFill="1" applyBorder="1" applyAlignment="1">
      <alignment horizontal="center" vertical="center"/>
    </xf>
    <xf numFmtId="2" fontId="3" fillId="3" borderId="18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3" fillId="3" borderId="22" xfId="0" applyNumberFormat="1" applyFont="1" applyFill="1" applyBorder="1" applyAlignment="1">
      <alignment horizontal="center" vertical="center"/>
    </xf>
    <xf numFmtId="2" fontId="3" fillId="3" borderId="19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BD3E-B8AC-F34B-AE58-1BEA00C83DDB}">
  <dimension ref="A1:S20"/>
  <sheetViews>
    <sheetView zoomScale="75" workbookViewId="0">
      <pane xSplit="1" topLeftCell="I1" activePane="topRight" state="frozen"/>
      <selection pane="topRight" activeCell="S19" sqref="N3:S19"/>
    </sheetView>
  </sheetViews>
  <sheetFormatPr baseColWidth="10" defaultRowHeight="16" x14ac:dyDescent="0.2"/>
  <cols>
    <col min="1" max="1" width="44.83203125" style="1" bestFit="1" customWidth="1"/>
    <col min="2" max="19" width="18" style="1" customWidth="1"/>
    <col min="20" max="16384" width="10.83203125" style="1"/>
  </cols>
  <sheetData>
    <row r="1" spans="1:19" ht="25" thickBot="1" x14ac:dyDescent="0.35">
      <c r="B1" s="45" t="s">
        <v>17</v>
      </c>
      <c r="C1" s="46"/>
      <c r="D1" s="46"/>
      <c r="E1" s="46"/>
      <c r="F1" s="46"/>
      <c r="G1" s="47"/>
      <c r="H1" s="46" t="s">
        <v>18</v>
      </c>
      <c r="I1" s="48"/>
      <c r="J1" s="48"/>
      <c r="K1" s="48"/>
      <c r="L1" s="48"/>
      <c r="M1" s="49"/>
      <c r="N1" s="46" t="s">
        <v>26</v>
      </c>
      <c r="O1" s="48"/>
      <c r="P1" s="48"/>
      <c r="Q1" s="48"/>
      <c r="R1" s="48"/>
      <c r="S1" s="49"/>
    </row>
    <row r="2" spans="1:19" ht="25" thickBot="1" x14ac:dyDescent="0.25">
      <c r="A2" s="2" t="s">
        <v>0</v>
      </c>
      <c r="B2" s="3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 t="s">
        <v>24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5" t="s">
        <v>24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5" t="s">
        <v>24</v>
      </c>
    </row>
    <row r="3" spans="1:19" ht="19" customHeight="1" x14ac:dyDescent="0.2">
      <c r="A3" s="6" t="s">
        <v>2</v>
      </c>
      <c r="B3" s="7">
        <v>416</v>
      </c>
      <c r="C3" s="18">
        <v>4.0729086538461541</v>
      </c>
      <c r="D3" s="8">
        <v>2.0499999999999998</v>
      </c>
      <c r="E3" s="8">
        <v>0.23</v>
      </c>
      <c r="F3" s="8">
        <v>3.7</v>
      </c>
      <c r="G3" s="9">
        <v>10.64</v>
      </c>
      <c r="H3" s="7">
        <v>1734</v>
      </c>
      <c r="I3" s="18">
        <v>8.9525836216839672</v>
      </c>
      <c r="J3" s="8">
        <v>7.45</v>
      </c>
      <c r="K3" s="8">
        <v>0.03</v>
      </c>
      <c r="L3" s="8">
        <v>7.06</v>
      </c>
      <c r="M3" s="9">
        <v>72.400000000000006</v>
      </c>
      <c r="N3" s="23">
        <f t="shared" ref="N3:N19" si="0">B3+H3</f>
        <v>2150</v>
      </c>
      <c r="O3" s="18">
        <f t="shared" ref="O3:O19" si="1">((C3*$B3)+(I3*$H3))/$N3</f>
        <v>8.0084232558139536</v>
      </c>
      <c r="P3" s="18">
        <f t="shared" ref="P3:P19" si="2">((D3*$B3)+(J3*$H3))/$N3</f>
        <v>6.4051627906976742</v>
      </c>
      <c r="Q3" s="18">
        <f t="shared" ref="Q3:Q19" si="3">((E3*$B3)+(K3*$H3))/$N3</f>
        <v>6.8697674418604651E-2</v>
      </c>
      <c r="R3" s="18">
        <f t="shared" ref="R3:R19" si="4">((F3*$B3)+(L3*$H3))/$N3</f>
        <v>6.4098790697674417</v>
      </c>
      <c r="S3" s="19">
        <f t="shared" ref="S3:S19" si="5">((G3*$B3)+(M3*$H3))/$N3</f>
        <v>60.450158139534892</v>
      </c>
    </row>
    <row r="4" spans="1:19" ht="19" customHeight="1" x14ac:dyDescent="0.2">
      <c r="A4" s="10" t="s">
        <v>12</v>
      </c>
      <c r="B4" s="11">
        <v>984</v>
      </c>
      <c r="C4" s="20">
        <v>1.1495223577235774</v>
      </c>
      <c r="D4" s="12">
        <v>0.75</v>
      </c>
      <c r="E4" s="12">
        <v>-1.59</v>
      </c>
      <c r="F4" s="12">
        <v>1.22</v>
      </c>
      <c r="G4" s="13">
        <v>2.4</v>
      </c>
      <c r="H4" s="11">
        <v>2594</v>
      </c>
      <c r="I4" s="20">
        <v>-0.49332305319969161</v>
      </c>
      <c r="J4" s="12">
        <v>0.66</v>
      </c>
      <c r="K4" s="12">
        <v>-1.81</v>
      </c>
      <c r="L4" s="12">
        <v>-0.55000000000000004</v>
      </c>
      <c r="M4" s="13">
        <v>2.2799999999999998</v>
      </c>
      <c r="N4" s="24">
        <f t="shared" si="0"/>
        <v>3578</v>
      </c>
      <c r="O4" s="20">
        <f t="shared" si="1"/>
        <v>-4.1517607602012285E-2</v>
      </c>
      <c r="P4" s="20">
        <f t="shared" si="2"/>
        <v>0.68475125768585798</v>
      </c>
      <c r="Q4" s="20">
        <f t="shared" si="3"/>
        <v>-1.7494969256567916</v>
      </c>
      <c r="R4" s="20">
        <f t="shared" si="4"/>
        <v>-6.322526551145892E-2</v>
      </c>
      <c r="S4" s="21">
        <f t="shared" si="5"/>
        <v>2.3130016769144772</v>
      </c>
    </row>
    <row r="5" spans="1:19" ht="19" customHeight="1" x14ac:dyDescent="0.2">
      <c r="A5" s="10" t="s">
        <v>7</v>
      </c>
      <c r="B5" s="11">
        <v>850</v>
      </c>
      <c r="C5" s="20">
        <v>95.378482352941177</v>
      </c>
      <c r="D5" s="12">
        <v>48.28</v>
      </c>
      <c r="E5" s="12">
        <v>0.19</v>
      </c>
      <c r="F5" s="12">
        <v>87.58</v>
      </c>
      <c r="G5" s="13">
        <v>304.58</v>
      </c>
      <c r="H5" s="11">
        <v>2310</v>
      </c>
      <c r="I5" s="20">
        <v>34.032432900432902</v>
      </c>
      <c r="J5" s="12">
        <v>27.84</v>
      </c>
      <c r="K5" s="12">
        <v>0</v>
      </c>
      <c r="L5" s="12">
        <v>25.98</v>
      </c>
      <c r="M5" s="13">
        <v>165.39</v>
      </c>
      <c r="N5" s="24">
        <f t="shared" si="0"/>
        <v>3160</v>
      </c>
      <c r="O5" s="20">
        <f t="shared" si="1"/>
        <v>50.533743670886075</v>
      </c>
      <c r="P5" s="20">
        <f t="shared" si="2"/>
        <v>33.338101265822786</v>
      </c>
      <c r="Q5" s="20">
        <f t="shared" si="3"/>
        <v>5.1107594936708862E-2</v>
      </c>
      <c r="R5" s="20">
        <f t="shared" si="4"/>
        <v>42.549620253164555</v>
      </c>
      <c r="S5" s="21">
        <f t="shared" si="5"/>
        <v>202.8303481012658</v>
      </c>
    </row>
    <row r="6" spans="1:19" ht="19" customHeight="1" x14ac:dyDescent="0.2">
      <c r="A6" s="10" t="s">
        <v>15</v>
      </c>
      <c r="B6" s="11">
        <v>1056</v>
      </c>
      <c r="C6" s="20">
        <v>2.6087594696969698</v>
      </c>
      <c r="D6" s="12">
        <v>4.75</v>
      </c>
      <c r="E6" s="12">
        <v>-21.51</v>
      </c>
      <c r="F6" s="12">
        <v>2.41</v>
      </c>
      <c r="G6" s="13">
        <v>86.83</v>
      </c>
      <c r="H6" s="11">
        <v>2759</v>
      </c>
      <c r="I6" s="20">
        <v>4.1945016310257337</v>
      </c>
      <c r="J6" s="12">
        <v>5.03</v>
      </c>
      <c r="K6" s="12">
        <v>-50.34</v>
      </c>
      <c r="L6" s="12">
        <v>4.3499999999999996</v>
      </c>
      <c r="M6" s="13">
        <v>63.38</v>
      </c>
      <c r="N6" s="24">
        <f t="shared" si="0"/>
        <v>3815</v>
      </c>
      <c r="O6" s="20">
        <f t="shared" si="1"/>
        <v>3.7555648754914808</v>
      </c>
      <c r="P6" s="20">
        <f t="shared" si="2"/>
        <v>4.952495412844037</v>
      </c>
      <c r="Q6" s="20">
        <f t="shared" si="3"/>
        <v>-42.359795543905634</v>
      </c>
      <c r="R6" s="20">
        <f t="shared" si="4"/>
        <v>3.8130039318479687</v>
      </c>
      <c r="S6" s="21">
        <f t="shared" si="5"/>
        <v>69.871009174311936</v>
      </c>
    </row>
    <row r="7" spans="1:19" ht="19" customHeight="1" x14ac:dyDescent="0.2">
      <c r="A7" s="10" t="s">
        <v>16</v>
      </c>
      <c r="B7" s="11">
        <v>1092</v>
      </c>
      <c r="C7" s="26">
        <v>41792.469981684982</v>
      </c>
      <c r="D7" s="26">
        <v>29681.54</v>
      </c>
      <c r="E7" s="26">
        <v>14048.56</v>
      </c>
      <c r="F7" s="26">
        <v>33765.18</v>
      </c>
      <c r="G7" s="28">
        <v>204263.8</v>
      </c>
      <c r="H7" s="11">
        <v>2774</v>
      </c>
      <c r="I7" s="20">
        <v>3571.7704397981256</v>
      </c>
      <c r="J7" s="12">
        <v>3370.99</v>
      </c>
      <c r="K7" s="12">
        <v>109.59</v>
      </c>
      <c r="L7" s="12">
        <v>2292.2800000000002</v>
      </c>
      <c r="M7" s="13">
        <v>13934.61</v>
      </c>
      <c r="N7" s="24">
        <f t="shared" si="0"/>
        <v>3866</v>
      </c>
      <c r="O7" s="20">
        <f t="shared" si="1"/>
        <v>14367.684536989136</v>
      </c>
      <c r="P7" s="20">
        <f t="shared" si="2"/>
        <v>10802.73355923435</v>
      </c>
      <c r="Q7" s="20">
        <f t="shared" si="3"/>
        <v>4046.826223486808</v>
      </c>
      <c r="R7" s="20">
        <f t="shared" si="4"/>
        <v>11182.193812726333</v>
      </c>
      <c r="S7" s="21">
        <f t="shared" si="5"/>
        <v>67695.467599586133</v>
      </c>
    </row>
    <row r="8" spans="1:19" ht="19" customHeight="1" x14ac:dyDescent="0.2">
      <c r="A8" s="10" t="s">
        <v>9</v>
      </c>
      <c r="B8" s="11">
        <v>956</v>
      </c>
      <c r="C8" s="20">
        <v>50.867656903765692</v>
      </c>
      <c r="D8" s="12">
        <v>12.4</v>
      </c>
      <c r="E8" s="12">
        <v>11.25</v>
      </c>
      <c r="F8" s="12">
        <v>53.66</v>
      </c>
      <c r="G8" s="13">
        <v>75.290000000000006</v>
      </c>
      <c r="H8" s="11">
        <v>2327</v>
      </c>
      <c r="I8" s="20">
        <v>68.201151697464539</v>
      </c>
      <c r="J8" s="12">
        <v>16.54</v>
      </c>
      <c r="K8" s="12">
        <v>5.04</v>
      </c>
      <c r="L8" s="12">
        <v>68.930000000000007</v>
      </c>
      <c r="M8" s="13">
        <v>133.11000000000001</v>
      </c>
      <c r="N8" s="24">
        <f t="shared" si="0"/>
        <v>3283</v>
      </c>
      <c r="O8" s="20">
        <f t="shared" si="1"/>
        <v>63.153688699360337</v>
      </c>
      <c r="P8" s="20">
        <f t="shared" si="2"/>
        <v>15.334444106000609</v>
      </c>
      <c r="Q8" s="20">
        <f t="shared" si="3"/>
        <v>6.8483338409990866</v>
      </c>
      <c r="R8" s="20">
        <f t="shared" si="4"/>
        <v>64.483420651842835</v>
      </c>
      <c r="S8" s="21">
        <f t="shared" si="5"/>
        <v>116.27298507462687</v>
      </c>
    </row>
    <row r="9" spans="1:19" ht="19" customHeight="1" x14ac:dyDescent="0.2">
      <c r="A9" s="10" t="s">
        <v>8</v>
      </c>
      <c r="B9" s="11">
        <v>945</v>
      </c>
      <c r="C9" s="20">
        <v>2.258306878306878</v>
      </c>
      <c r="D9" s="12">
        <v>2.97</v>
      </c>
      <c r="E9" s="12">
        <v>-4.9000000000000004</v>
      </c>
      <c r="F9" s="12">
        <v>2</v>
      </c>
      <c r="G9" s="13">
        <v>62.2</v>
      </c>
      <c r="H9" s="11">
        <v>2575</v>
      </c>
      <c r="I9" s="20">
        <v>7.1639611650485469</v>
      </c>
      <c r="J9" s="12">
        <v>17.3</v>
      </c>
      <c r="K9" s="12">
        <v>-16.899999999999999</v>
      </c>
      <c r="L9" s="12">
        <v>4.5</v>
      </c>
      <c r="M9" s="13">
        <v>513.9</v>
      </c>
      <c r="N9" s="24">
        <f t="shared" si="0"/>
        <v>3520</v>
      </c>
      <c r="O9" s="20">
        <f t="shared" si="1"/>
        <v>5.8469602272727288</v>
      </c>
      <c r="P9" s="20">
        <f t="shared" si="2"/>
        <v>13.452883522727273</v>
      </c>
      <c r="Q9" s="20">
        <f t="shared" si="3"/>
        <v>-13.678409090909089</v>
      </c>
      <c r="R9" s="20">
        <f t="shared" si="4"/>
        <v>3.8288352272727271</v>
      </c>
      <c r="S9" s="21">
        <f t="shared" si="5"/>
        <v>392.63394886363636</v>
      </c>
    </row>
    <row r="10" spans="1:19" ht="19" customHeight="1" x14ac:dyDescent="0.2">
      <c r="A10" s="10" t="s">
        <v>6</v>
      </c>
      <c r="B10" s="11">
        <v>830</v>
      </c>
      <c r="C10" s="20">
        <v>20.155180722891565</v>
      </c>
      <c r="D10" s="12">
        <v>7.97</v>
      </c>
      <c r="E10" s="12">
        <v>8.1</v>
      </c>
      <c r="F10" s="12">
        <v>18.600000000000001</v>
      </c>
      <c r="G10" s="13">
        <v>57</v>
      </c>
      <c r="H10" s="11">
        <v>2316</v>
      </c>
      <c r="I10" s="20">
        <v>37.43385146804836</v>
      </c>
      <c r="J10" s="12">
        <v>10.44</v>
      </c>
      <c r="K10" s="12">
        <v>11.6</v>
      </c>
      <c r="L10" s="12">
        <v>36.799999999999997</v>
      </c>
      <c r="M10" s="13">
        <v>68.2</v>
      </c>
      <c r="N10" s="24">
        <f t="shared" si="0"/>
        <v>3146</v>
      </c>
      <c r="O10" s="20">
        <f t="shared" si="1"/>
        <v>32.875270184361092</v>
      </c>
      <c r="P10" s="20">
        <f t="shared" si="2"/>
        <v>9.7883471074380157</v>
      </c>
      <c r="Q10" s="20">
        <f t="shared" si="3"/>
        <v>10.676605212968848</v>
      </c>
      <c r="R10" s="20">
        <f t="shared" si="4"/>
        <v>31.998347107438011</v>
      </c>
      <c r="S10" s="21">
        <f t="shared" si="5"/>
        <v>65.245136681500327</v>
      </c>
    </row>
    <row r="11" spans="1:19" ht="19" customHeight="1" x14ac:dyDescent="0.2">
      <c r="A11" s="10" t="s">
        <v>1</v>
      </c>
      <c r="B11" s="11">
        <v>23</v>
      </c>
      <c r="C11" s="20">
        <v>35.939130434782605</v>
      </c>
      <c r="D11" s="12">
        <v>12.17</v>
      </c>
      <c r="E11" s="12">
        <v>15.1</v>
      </c>
      <c r="F11" s="12">
        <v>35.4</v>
      </c>
      <c r="G11" s="13">
        <v>62.2</v>
      </c>
      <c r="H11" s="11">
        <v>463</v>
      </c>
      <c r="I11" s="20">
        <v>62.915550755939528</v>
      </c>
      <c r="J11" s="12">
        <v>20.27</v>
      </c>
      <c r="K11" s="12">
        <v>12.4</v>
      </c>
      <c r="L11" s="12">
        <v>63.1</v>
      </c>
      <c r="M11" s="13">
        <v>99.7</v>
      </c>
      <c r="N11" s="24">
        <f t="shared" si="0"/>
        <v>486</v>
      </c>
      <c r="O11" s="20">
        <f t="shared" si="1"/>
        <v>61.638888888888886</v>
      </c>
      <c r="P11" s="20">
        <f t="shared" si="2"/>
        <v>19.886666666666667</v>
      </c>
      <c r="Q11" s="20">
        <f t="shared" si="3"/>
        <v>12.527777777777779</v>
      </c>
      <c r="R11" s="20">
        <f t="shared" si="4"/>
        <v>61.789094650205762</v>
      </c>
      <c r="S11" s="21">
        <f t="shared" si="5"/>
        <v>97.925308641975306</v>
      </c>
    </row>
    <row r="12" spans="1:19" ht="19" customHeight="1" x14ac:dyDescent="0.2">
      <c r="A12" s="10" t="s">
        <v>25</v>
      </c>
      <c r="B12" s="11">
        <v>798</v>
      </c>
      <c r="C12" s="20">
        <v>1.8669247323838956E-3</v>
      </c>
      <c r="D12" s="12">
        <v>0.38</v>
      </c>
      <c r="E12" s="12">
        <v>-3.36</v>
      </c>
      <c r="F12" s="12">
        <v>0.01</v>
      </c>
      <c r="G12" s="13">
        <v>2.19</v>
      </c>
      <c r="H12" s="11">
        <v>2070</v>
      </c>
      <c r="I12" s="26">
        <v>-3.0641207927380753E-3</v>
      </c>
      <c r="J12" s="12">
        <v>1.92</v>
      </c>
      <c r="K12" s="12">
        <v>-19.5</v>
      </c>
      <c r="L12" s="12">
        <v>0.01</v>
      </c>
      <c r="M12" s="13">
        <v>68.650000000000006</v>
      </c>
      <c r="N12" s="24">
        <f t="shared" si="0"/>
        <v>2868</v>
      </c>
      <c r="O12" s="20">
        <f t="shared" si="1"/>
        <v>-1.6920934813547655E-3</v>
      </c>
      <c r="P12" s="20">
        <f t="shared" si="2"/>
        <v>1.4915062761506275</v>
      </c>
      <c r="Q12" s="20">
        <f t="shared" si="3"/>
        <v>-15.009163179916317</v>
      </c>
      <c r="R12" s="20">
        <f t="shared" si="4"/>
        <v>0.01</v>
      </c>
      <c r="S12" s="21">
        <f t="shared" si="5"/>
        <v>50.157991631799163</v>
      </c>
    </row>
    <row r="13" spans="1:19" ht="19" customHeight="1" x14ac:dyDescent="0.2">
      <c r="A13" s="10" t="s">
        <v>10</v>
      </c>
      <c r="B13" s="11">
        <v>955</v>
      </c>
      <c r="C13" s="20">
        <v>1.9235602094240818</v>
      </c>
      <c r="D13" s="12">
        <v>1.81</v>
      </c>
      <c r="E13" s="12">
        <v>1</v>
      </c>
      <c r="F13" s="12">
        <v>1</v>
      </c>
      <c r="G13" s="13">
        <v>7</v>
      </c>
      <c r="H13" s="11">
        <v>2740</v>
      </c>
      <c r="I13" s="20">
        <v>3.8624087591240825</v>
      </c>
      <c r="J13" s="12">
        <v>2.0099999999999998</v>
      </c>
      <c r="K13" s="12">
        <v>1</v>
      </c>
      <c r="L13" s="12">
        <v>4</v>
      </c>
      <c r="M13" s="13">
        <v>7</v>
      </c>
      <c r="N13" s="24">
        <f t="shared" si="0"/>
        <v>3695</v>
      </c>
      <c r="O13" s="20">
        <f t="shared" si="1"/>
        <v>3.3612990527740143</v>
      </c>
      <c r="P13" s="20">
        <f t="shared" si="2"/>
        <v>1.9583085250338295</v>
      </c>
      <c r="Q13" s="20">
        <f t="shared" si="3"/>
        <v>1</v>
      </c>
      <c r="R13" s="20">
        <f t="shared" si="4"/>
        <v>3.2246278755074425</v>
      </c>
      <c r="S13" s="21">
        <f t="shared" si="5"/>
        <v>7</v>
      </c>
    </row>
    <row r="14" spans="1:19" ht="19" customHeight="1" x14ac:dyDescent="0.2">
      <c r="A14" s="10" t="s">
        <v>14</v>
      </c>
      <c r="B14" s="11">
        <v>1010</v>
      </c>
      <c r="C14" s="20">
        <v>0.81749504950495055</v>
      </c>
      <c r="D14" s="12">
        <v>0.53</v>
      </c>
      <c r="E14" s="12">
        <v>-1.57</v>
      </c>
      <c r="F14" s="12">
        <v>0.94</v>
      </c>
      <c r="G14" s="13">
        <v>1.68</v>
      </c>
      <c r="H14" s="11">
        <v>2609</v>
      </c>
      <c r="I14" s="20">
        <v>-0.39442315063242622</v>
      </c>
      <c r="J14" s="12">
        <v>0.92</v>
      </c>
      <c r="K14" s="12">
        <v>-3.05</v>
      </c>
      <c r="L14" s="12">
        <v>-0.34</v>
      </c>
      <c r="M14" s="13">
        <v>1.59</v>
      </c>
      <c r="N14" s="24">
        <f t="shared" si="0"/>
        <v>3619</v>
      </c>
      <c r="O14" s="20">
        <f t="shared" si="1"/>
        <v>-5.619784470848297E-2</v>
      </c>
      <c r="P14" s="20">
        <f t="shared" si="2"/>
        <v>0.81115777839182102</v>
      </c>
      <c r="Q14" s="20">
        <f t="shared" si="3"/>
        <v>-2.636957723127936</v>
      </c>
      <c r="R14" s="20">
        <f t="shared" si="4"/>
        <v>1.72257529704338E-2</v>
      </c>
      <c r="S14" s="21">
        <f t="shared" si="5"/>
        <v>1.6151174357557339</v>
      </c>
    </row>
    <row r="15" spans="1:19" ht="19" customHeight="1" x14ac:dyDescent="0.2">
      <c r="A15" s="10" t="s">
        <v>3</v>
      </c>
      <c r="B15" s="11">
        <v>528</v>
      </c>
      <c r="C15" s="20">
        <v>3.8035416666666668</v>
      </c>
      <c r="D15" s="12">
        <v>6.68</v>
      </c>
      <c r="E15" s="12">
        <v>-19.47</v>
      </c>
      <c r="F15" s="12">
        <v>3.28</v>
      </c>
      <c r="G15" s="13">
        <v>54.68</v>
      </c>
      <c r="H15" s="11">
        <v>1993</v>
      </c>
      <c r="I15" s="20">
        <v>7.0013948820873066</v>
      </c>
      <c r="J15" s="12">
        <v>10.039999999999999</v>
      </c>
      <c r="K15" s="12">
        <v>-64.3</v>
      </c>
      <c r="L15" s="12">
        <v>6.43</v>
      </c>
      <c r="M15" s="13">
        <v>93.92</v>
      </c>
      <c r="N15" s="24">
        <f t="shared" si="0"/>
        <v>2521</v>
      </c>
      <c r="O15" s="20">
        <f t="shared" si="1"/>
        <v>6.3316342721142416</v>
      </c>
      <c r="P15" s="20">
        <f t="shared" si="2"/>
        <v>9.3362792542641806</v>
      </c>
      <c r="Q15" s="20">
        <f t="shared" si="3"/>
        <v>-54.910773502578344</v>
      </c>
      <c r="R15" s="20">
        <f t="shared" si="4"/>
        <v>5.7702618008726692</v>
      </c>
      <c r="S15" s="21">
        <f t="shared" si="5"/>
        <v>85.701547005156684</v>
      </c>
    </row>
    <row r="16" spans="1:19" ht="19" customHeight="1" x14ac:dyDescent="0.2">
      <c r="A16" s="10" t="s">
        <v>11</v>
      </c>
      <c r="B16" s="11">
        <v>984</v>
      </c>
      <c r="C16" s="20">
        <v>1.1851829268292682</v>
      </c>
      <c r="D16" s="12">
        <v>0.6</v>
      </c>
      <c r="E16" s="12">
        <v>-1.71</v>
      </c>
      <c r="F16" s="12">
        <v>1.22</v>
      </c>
      <c r="G16" s="13">
        <v>2.2599999999999998</v>
      </c>
      <c r="H16" s="11">
        <v>2584</v>
      </c>
      <c r="I16" s="20">
        <v>-0.43718653250773998</v>
      </c>
      <c r="J16" s="12">
        <v>0.69</v>
      </c>
      <c r="K16" s="12">
        <v>-2.58</v>
      </c>
      <c r="L16" s="12">
        <v>-0.45</v>
      </c>
      <c r="M16" s="13">
        <v>1.62</v>
      </c>
      <c r="N16" s="24">
        <f t="shared" si="0"/>
        <v>3568</v>
      </c>
      <c r="O16" s="20">
        <f t="shared" si="1"/>
        <v>1.0238228699551499E-2</v>
      </c>
      <c r="P16" s="20">
        <f t="shared" si="2"/>
        <v>0.66517937219730927</v>
      </c>
      <c r="Q16" s="20">
        <f t="shared" si="3"/>
        <v>-2.3400672645739911</v>
      </c>
      <c r="R16" s="20">
        <f t="shared" si="4"/>
        <v>1.0560538116591946E-2</v>
      </c>
      <c r="S16" s="21">
        <f t="shared" si="5"/>
        <v>1.7965022421524663</v>
      </c>
    </row>
    <row r="17" spans="1:19" ht="19" customHeight="1" x14ac:dyDescent="0.2">
      <c r="A17" s="10" t="s">
        <v>4</v>
      </c>
      <c r="B17" s="11">
        <v>655</v>
      </c>
      <c r="C17" s="20">
        <v>17.108045801526718</v>
      </c>
      <c r="D17" s="12">
        <v>7.3</v>
      </c>
      <c r="E17" s="12">
        <v>6.16</v>
      </c>
      <c r="F17" s="12">
        <v>14.37</v>
      </c>
      <c r="G17" s="13">
        <v>39.51</v>
      </c>
      <c r="H17" s="11">
        <v>1852</v>
      </c>
      <c r="I17" s="20">
        <v>34.94436285097192</v>
      </c>
      <c r="J17" s="12">
        <v>10.64</v>
      </c>
      <c r="K17" s="12">
        <v>10.85</v>
      </c>
      <c r="L17" s="12">
        <v>34.47</v>
      </c>
      <c r="M17" s="13">
        <v>70.569999999999993</v>
      </c>
      <c r="N17" s="24">
        <f t="shared" si="0"/>
        <v>2507</v>
      </c>
      <c r="O17" s="20">
        <f t="shared" si="1"/>
        <v>30.284295971280415</v>
      </c>
      <c r="P17" s="20">
        <f t="shared" si="2"/>
        <v>9.7673633825289201</v>
      </c>
      <c r="Q17" s="20">
        <f t="shared" si="3"/>
        <v>9.624650977263661</v>
      </c>
      <c r="R17" s="20">
        <f t="shared" si="4"/>
        <v>29.218504188272835</v>
      </c>
      <c r="S17" s="21">
        <f t="shared" si="5"/>
        <v>62.455001994415625</v>
      </c>
    </row>
    <row r="18" spans="1:19" ht="19" customHeight="1" x14ac:dyDescent="0.2">
      <c r="A18" s="10" t="s">
        <v>5</v>
      </c>
      <c r="B18" s="11">
        <v>716</v>
      </c>
      <c r="C18" s="20">
        <v>36.958379888268155</v>
      </c>
      <c r="D18" s="12">
        <v>15.01</v>
      </c>
      <c r="E18" s="12">
        <v>8</v>
      </c>
      <c r="F18" s="12">
        <v>37.200000000000003</v>
      </c>
      <c r="G18" s="13">
        <v>106</v>
      </c>
      <c r="H18" s="11">
        <v>1883</v>
      </c>
      <c r="I18" s="20">
        <v>47.619277748274015</v>
      </c>
      <c r="J18" s="12">
        <v>38.159999999999997</v>
      </c>
      <c r="K18" s="12">
        <v>7.4</v>
      </c>
      <c r="L18" s="12">
        <v>39.299999999999997</v>
      </c>
      <c r="M18" s="13">
        <v>339.1</v>
      </c>
      <c r="N18" s="24">
        <f t="shared" si="0"/>
        <v>2599</v>
      </c>
      <c r="O18" s="20">
        <f t="shared" si="1"/>
        <v>44.682300884955744</v>
      </c>
      <c r="P18" s="20">
        <f t="shared" si="2"/>
        <v>31.782393228164679</v>
      </c>
      <c r="Q18" s="20">
        <f t="shared" si="3"/>
        <v>7.5652943439784535</v>
      </c>
      <c r="R18" s="20">
        <f t="shared" si="4"/>
        <v>38.721469796075411</v>
      </c>
      <c r="S18" s="21">
        <f t="shared" si="5"/>
        <v>274.88314736437093</v>
      </c>
    </row>
    <row r="19" spans="1:19" ht="19" customHeight="1" thickBot="1" x14ac:dyDescent="0.25">
      <c r="A19" s="14" t="s">
        <v>13</v>
      </c>
      <c r="B19" s="15">
        <v>1012</v>
      </c>
      <c r="C19" s="22">
        <v>0.90265810276679848</v>
      </c>
      <c r="D19" s="16">
        <v>0.81</v>
      </c>
      <c r="E19" s="16">
        <v>-1.83</v>
      </c>
      <c r="F19" s="16">
        <v>1.1200000000000001</v>
      </c>
      <c r="G19" s="17">
        <v>1.96</v>
      </c>
      <c r="H19" s="15">
        <v>2619</v>
      </c>
      <c r="I19" s="22">
        <v>-0.3562352042764414</v>
      </c>
      <c r="J19" s="16">
        <v>0.79</v>
      </c>
      <c r="K19" s="16">
        <v>-2.2999999999999998</v>
      </c>
      <c r="L19" s="16">
        <v>-0.32</v>
      </c>
      <c r="M19" s="17">
        <v>1.54</v>
      </c>
      <c r="N19" s="25">
        <f t="shared" si="0"/>
        <v>3631</v>
      </c>
      <c r="O19" s="22">
        <f t="shared" si="1"/>
        <v>-5.3676673092811922E-3</v>
      </c>
      <c r="P19" s="22">
        <f t="shared" si="2"/>
        <v>0.79557422197741678</v>
      </c>
      <c r="Q19" s="22">
        <f t="shared" si="3"/>
        <v>-2.1690057835307077</v>
      </c>
      <c r="R19" s="22">
        <f t="shared" si="4"/>
        <v>8.1343982374001658E-2</v>
      </c>
      <c r="S19" s="27">
        <f t="shared" si="5"/>
        <v>1.6570586615257508</v>
      </c>
    </row>
    <row r="20" spans="1:19" ht="19" customHeight="1" x14ac:dyDescent="0.2"/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249B-AB62-434E-B915-7CE27BE9B11D}">
  <dimension ref="A1:G18"/>
  <sheetViews>
    <sheetView workbookViewId="0">
      <selection activeCell="A3" sqref="A3:A18"/>
    </sheetView>
  </sheetViews>
  <sheetFormatPr baseColWidth="10" defaultRowHeight="16" x14ac:dyDescent="0.2"/>
  <cols>
    <col min="2" max="7" width="9.6640625" customWidth="1"/>
  </cols>
  <sheetData>
    <row r="1" spans="1:7" ht="20" thickBot="1" x14ac:dyDescent="0.3">
      <c r="A1" s="29"/>
      <c r="B1" s="50" t="s">
        <v>17</v>
      </c>
      <c r="C1" s="51"/>
      <c r="D1" s="51"/>
      <c r="E1" s="51"/>
      <c r="F1" s="51"/>
      <c r="G1" s="52"/>
    </row>
    <row r="2" spans="1:7" ht="20" thickBot="1" x14ac:dyDescent="0.25">
      <c r="A2" s="42" t="s">
        <v>0</v>
      </c>
      <c r="B2" s="30" t="s">
        <v>19</v>
      </c>
      <c r="C2" s="31" t="s">
        <v>20</v>
      </c>
      <c r="D2" s="31" t="s">
        <v>21</v>
      </c>
      <c r="E2" s="31" t="s">
        <v>22</v>
      </c>
      <c r="F2" s="31" t="s">
        <v>23</v>
      </c>
      <c r="G2" s="32" t="s">
        <v>24</v>
      </c>
    </row>
    <row r="3" spans="1:7" x14ac:dyDescent="0.2">
      <c r="A3" s="33" t="s">
        <v>16</v>
      </c>
      <c r="B3" s="34">
        <v>1080</v>
      </c>
      <c r="C3" s="37">
        <v>41750.426925925924</v>
      </c>
      <c r="D3" s="37">
        <v>30040.75</v>
      </c>
      <c r="E3" s="37">
        <v>4070.61</v>
      </c>
      <c r="F3" s="37">
        <v>34461.230000000003</v>
      </c>
      <c r="G3" s="38">
        <v>204263.8</v>
      </c>
    </row>
    <row r="4" spans="1:7" x14ac:dyDescent="0.2">
      <c r="A4" s="33" t="s">
        <v>15</v>
      </c>
      <c r="B4" s="34">
        <v>1044</v>
      </c>
      <c r="C4" s="35">
        <v>2.6090517241379305</v>
      </c>
      <c r="D4" s="34">
        <v>4.04</v>
      </c>
      <c r="E4" s="34">
        <v>-21.51</v>
      </c>
      <c r="F4" s="34">
        <v>2.4500000000000002</v>
      </c>
      <c r="G4" s="36">
        <v>26.63</v>
      </c>
    </row>
    <row r="5" spans="1:7" x14ac:dyDescent="0.2">
      <c r="A5" s="33" t="s">
        <v>13</v>
      </c>
      <c r="B5" s="34">
        <v>985</v>
      </c>
      <c r="C5" s="35">
        <v>0.91639593908629435</v>
      </c>
      <c r="D5" s="34">
        <v>0.81</v>
      </c>
      <c r="E5" s="34">
        <v>-1.96</v>
      </c>
      <c r="F5" s="34">
        <v>1.1399999999999999</v>
      </c>
      <c r="G5" s="36">
        <v>1.96</v>
      </c>
    </row>
    <row r="6" spans="1:7" x14ac:dyDescent="0.2">
      <c r="A6" s="33" t="s">
        <v>14</v>
      </c>
      <c r="B6" s="34">
        <v>983</v>
      </c>
      <c r="C6" s="35">
        <v>0.83221770091556457</v>
      </c>
      <c r="D6" s="34">
        <v>0.52</v>
      </c>
      <c r="E6" s="34">
        <v>-1.29</v>
      </c>
      <c r="F6" s="34">
        <v>0.95</v>
      </c>
      <c r="G6" s="36">
        <v>1.68</v>
      </c>
    </row>
    <row r="7" spans="1:7" x14ac:dyDescent="0.2">
      <c r="A7" s="33" t="s">
        <v>12</v>
      </c>
      <c r="B7" s="34">
        <v>957</v>
      </c>
      <c r="C7" s="35">
        <v>1.1887565308254964</v>
      </c>
      <c r="D7" s="34">
        <v>0.71</v>
      </c>
      <c r="E7" s="34">
        <v>-0.48</v>
      </c>
      <c r="F7" s="34">
        <v>1.24</v>
      </c>
      <c r="G7" s="36">
        <v>2.4</v>
      </c>
    </row>
    <row r="8" spans="1:7" x14ac:dyDescent="0.2">
      <c r="A8" s="33" t="s">
        <v>11</v>
      </c>
      <c r="B8" s="34">
        <v>957</v>
      </c>
      <c r="C8" s="35">
        <v>1.2286729362591431</v>
      </c>
      <c r="D8" s="34">
        <v>0.54</v>
      </c>
      <c r="E8" s="34">
        <v>-0.42</v>
      </c>
      <c r="F8" s="34">
        <v>1.25</v>
      </c>
      <c r="G8" s="36">
        <v>2.2599999999999998</v>
      </c>
    </row>
    <row r="9" spans="1:7" x14ac:dyDescent="0.2">
      <c r="A9" s="33" t="s">
        <v>9</v>
      </c>
      <c r="B9" s="34">
        <v>943</v>
      </c>
      <c r="C9" s="35">
        <v>1.9363732767762485</v>
      </c>
      <c r="D9" s="34">
        <v>1.83</v>
      </c>
      <c r="E9" s="34">
        <v>1</v>
      </c>
      <c r="F9" s="34">
        <v>1</v>
      </c>
      <c r="G9" s="36">
        <v>7</v>
      </c>
    </row>
    <row r="10" spans="1:7" x14ac:dyDescent="0.2">
      <c r="A10" s="33" t="s">
        <v>10</v>
      </c>
      <c r="B10" s="34">
        <v>933</v>
      </c>
      <c r="C10" s="35">
        <v>2.1465166130760984</v>
      </c>
      <c r="D10" s="34">
        <v>2.16</v>
      </c>
      <c r="E10" s="34">
        <v>-4.9000000000000004</v>
      </c>
      <c r="F10" s="34">
        <v>1.9</v>
      </c>
      <c r="G10" s="36">
        <v>15.1</v>
      </c>
    </row>
    <row r="11" spans="1:7" x14ac:dyDescent="0.2">
      <c r="A11" s="33" t="s">
        <v>8</v>
      </c>
      <c r="B11" s="34">
        <v>932</v>
      </c>
      <c r="C11" s="35">
        <v>50.433090128755367</v>
      </c>
      <c r="D11" s="34">
        <v>12.15</v>
      </c>
      <c r="E11" s="34">
        <v>11.25</v>
      </c>
      <c r="F11" s="34">
        <v>53.45</v>
      </c>
      <c r="G11" s="36">
        <v>71.150000000000006</v>
      </c>
    </row>
    <row r="12" spans="1:7" x14ac:dyDescent="0.2">
      <c r="A12" s="33" t="s">
        <v>7</v>
      </c>
      <c r="B12" s="34">
        <v>825</v>
      </c>
      <c r="C12" s="35">
        <v>96.927757575757582</v>
      </c>
      <c r="D12" s="34">
        <v>47.76</v>
      </c>
      <c r="E12" s="34">
        <v>0.19</v>
      </c>
      <c r="F12" s="34">
        <v>88.52</v>
      </c>
      <c r="G12" s="36">
        <v>304.58</v>
      </c>
    </row>
    <row r="13" spans="1:7" x14ac:dyDescent="0.2">
      <c r="A13" s="33" t="s">
        <v>6</v>
      </c>
      <c r="B13" s="34">
        <v>820</v>
      </c>
      <c r="C13" s="35">
        <v>19.383902439024389</v>
      </c>
      <c r="D13" s="34">
        <v>6.67</v>
      </c>
      <c r="E13" s="34">
        <v>8.1</v>
      </c>
      <c r="F13" s="34">
        <v>18.5</v>
      </c>
      <c r="G13" s="36">
        <v>34.5</v>
      </c>
    </row>
    <row r="14" spans="1:7" x14ac:dyDescent="0.2">
      <c r="A14" s="33" t="s">
        <v>25</v>
      </c>
      <c r="B14" s="34">
        <v>780</v>
      </c>
      <c r="C14" s="35">
        <v>4.2660365626104807E-3</v>
      </c>
      <c r="D14" s="34">
        <v>0.37</v>
      </c>
      <c r="E14" s="34">
        <v>-3.36</v>
      </c>
      <c r="F14" s="34">
        <v>0</v>
      </c>
      <c r="G14" s="36">
        <v>2.19</v>
      </c>
    </row>
    <row r="15" spans="1:7" x14ac:dyDescent="0.2">
      <c r="A15" s="33" t="s">
        <v>5</v>
      </c>
      <c r="B15" s="34">
        <v>672</v>
      </c>
      <c r="C15" s="35">
        <v>17.197321428571428</v>
      </c>
      <c r="D15" s="34">
        <v>7.29</v>
      </c>
      <c r="E15" s="34">
        <v>6.16</v>
      </c>
      <c r="F15" s="34">
        <v>14.62</v>
      </c>
      <c r="G15" s="36">
        <v>39.51</v>
      </c>
    </row>
    <row r="16" spans="1:7" x14ac:dyDescent="0.2">
      <c r="A16" s="33" t="s">
        <v>4</v>
      </c>
      <c r="B16" s="34">
        <v>646</v>
      </c>
      <c r="C16" s="35">
        <v>36.560526315789474</v>
      </c>
      <c r="D16" s="34">
        <v>14.92</v>
      </c>
      <c r="E16" s="34">
        <v>8</v>
      </c>
      <c r="F16" s="34">
        <v>36.25</v>
      </c>
      <c r="G16" s="36">
        <v>76.7</v>
      </c>
    </row>
    <row r="17" spans="1:7" x14ac:dyDescent="0.2">
      <c r="A17" s="33" t="s">
        <v>3</v>
      </c>
      <c r="B17" s="34">
        <v>521</v>
      </c>
      <c r="C17" s="35">
        <v>3.9404606525911707</v>
      </c>
      <c r="D17" s="34">
        <v>6.72</v>
      </c>
      <c r="E17" s="34">
        <v>-19.47</v>
      </c>
      <c r="F17" s="34">
        <v>3.31</v>
      </c>
      <c r="G17" s="36">
        <v>54.68</v>
      </c>
    </row>
    <row r="18" spans="1:7" x14ac:dyDescent="0.2">
      <c r="A18" s="33" t="s">
        <v>2</v>
      </c>
      <c r="B18" s="34">
        <v>405</v>
      </c>
      <c r="C18" s="35">
        <v>3.9925679012345681</v>
      </c>
      <c r="D18" s="34">
        <v>1.91</v>
      </c>
      <c r="E18" s="34">
        <v>0.23</v>
      </c>
      <c r="F18" s="34">
        <v>3.67</v>
      </c>
      <c r="G18" s="36">
        <v>8.52</v>
      </c>
    </row>
  </sheetData>
  <sortState xmlns:xlrd2="http://schemas.microsoft.com/office/spreadsheetml/2017/richdata2" ref="A3:G18">
    <sortCondition descending="1" ref="B3:B18"/>
  </sortState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F297-5427-F44A-9458-5B6286FBD0AB}">
  <dimension ref="A1:G18"/>
  <sheetViews>
    <sheetView workbookViewId="0">
      <selection activeCell="C3" sqref="C3"/>
    </sheetView>
  </sheetViews>
  <sheetFormatPr baseColWidth="10" defaultRowHeight="16" x14ac:dyDescent="0.2"/>
  <cols>
    <col min="2" max="7" width="9.6640625" customWidth="1"/>
  </cols>
  <sheetData>
    <row r="1" spans="1:7" ht="20" thickBot="1" x14ac:dyDescent="0.3">
      <c r="A1" s="29"/>
      <c r="B1" s="50" t="s">
        <v>18</v>
      </c>
      <c r="C1" s="51"/>
      <c r="D1" s="51"/>
      <c r="E1" s="51"/>
      <c r="F1" s="51"/>
      <c r="G1" s="52"/>
    </row>
    <row r="2" spans="1:7" ht="20" thickBot="1" x14ac:dyDescent="0.25">
      <c r="A2" s="42" t="s">
        <v>0</v>
      </c>
      <c r="B2" s="30" t="s">
        <v>19</v>
      </c>
      <c r="C2" s="31" t="s">
        <v>20</v>
      </c>
      <c r="D2" s="31" t="s">
        <v>21</v>
      </c>
      <c r="E2" s="31" t="s">
        <v>22</v>
      </c>
      <c r="F2" s="31" t="s">
        <v>23</v>
      </c>
      <c r="G2" s="32" t="s">
        <v>24</v>
      </c>
    </row>
    <row r="3" spans="1:7" x14ac:dyDescent="0.2">
      <c r="A3" s="33" t="s">
        <v>16</v>
      </c>
      <c r="B3" s="7">
        <v>2786</v>
      </c>
      <c r="C3" s="18">
        <v>3752.6946661880829</v>
      </c>
      <c r="D3" s="8">
        <v>3782.37</v>
      </c>
      <c r="E3" s="8">
        <v>109.59</v>
      </c>
      <c r="F3" s="8">
        <v>2313.73</v>
      </c>
      <c r="G3" s="9">
        <v>19608.79</v>
      </c>
    </row>
    <row r="4" spans="1:7" x14ac:dyDescent="0.2">
      <c r="A4" s="33" t="s">
        <v>15</v>
      </c>
      <c r="B4" s="11">
        <v>2771</v>
      </c>
      <c r="C4" s="20">
        <v>4.1875243594370257</v>
      </c>
      <c r="D4" s="12">
        <v>5.26</v>
      </c>
      <c r="E4" s="12">
        <v>-50.34</v>
      </c>
      <c r="F4" s="12">
        <v>4.33</v>
      </c>
      <c r="G4" s="13">
        <v>86.83</v>
      </c>
    </row>
    <row r="5" spans="1:7" x14ac:dyDescent="0.2">
      <c r="A5" s="33" t="s">
        <v>10</v>
      </c>
      <c r="B5" s="11">
        <v>2766</v>
      </c>
      <c r="C5" s="20">
        <v>3.8637020968908198</v>
      </c>
      <c r="D5" s="12">
        <v>2.0099999999999998</v>
      </c>
      <c r="E5" s="12">
        <v>1</v>
      </c>
      <c r="F5" s="12">
        <v>4</v>
      </c>
      <c r="G5" s="13">
        <v>7</v>
      </c>
    </row>
    <row r="6" spans="1:7" x14ac:dyDescent="0.2">
      <c r="A6" s="33" t="s">
        <v>13</v>
      </c>
      <c r="B6" s="11">
        <v>2660</v>
      </c>
      <c r="C6" s="20">
        <v>-0.35695112781954885</v>
      </c>
      <c r="D6" s="12">
        <v>0.8</v>
      </c>
      <c r="E6" s="12">
        <v>-2.36</v>
      </c>
      <c r="F6" s="12">
        <v>-0.31</v>
      </c>
      <c r="G6" s="13">
        <v>1.36</v>
      </c>
    </row>
    <row r="7" spans="1:7" x14ac:dyDescent="0.2">
      <c r="A7" s="33" t="s">
        <v>14</v>
      </c>
      <c r="B7" s="11">
        <v>2650</v>
      </c>
      <c r="C7" s="20">
        <v>-0.39156603773584903</v>
      </c>
      <c r="D7" s="12">
        <v>0.92</v>
      </c>
      <c r="E7" s="12">
        <v>-3.05</v>
      </c>
      <c r="F7" s="12">
        <v>-0.34</v>
      </c>
      <c r="G7" s="13">
        <v>1.59</v>
      </c>
    </row>
    <row r="8" spans="1:7" x14ac:dyDescent="0.2">
      <c r="A8" s="33" t="s">
        <v>12</v>
      </c>
      <c r="B8" s="11">
        <v>2635</v>
      </c>
      <c r="C8" s="20">
        <v>-0.49535104364326377</v>
      </c>
      <c r="D8" s="12">
        <v>0.66</v>
      </c>
      <c r="E8" s="12">
        <v>-1.81</v>
      </c>
      <c r="F8" s="12">
        <v>-0.55000000000000004</v>
      </c>
      <c r="G8" s="13">
        <v>1.55</v>
      </c>
    </row>
    <row r="9" spans="1:7" x14ac:dyDescent="0.2">
      <c r="A9" s="33" t="s">
        <v>11</v>
      </c>
      <c r="B9" s="11">
        <v>2625</v>
      </c>
      <c r="C9" s="20">
        <v>-0.44412190476190472</v>
      </c>
      <c r="D9" s="12">
        <v>0.7</v>
      </c>
      <c r="E9" s="12">
        <v>-2.58</v>
      </c>
      <c r="F9" s="12">
        <v>-0.45</v>
      </c>
      <c r="G9" s="13">
        <v>1.62</v>
      </c>
    </row>
    <row r="10" spans="1:7" x14ac:dyDescent="0.2">
      <c r="A10" s="33" t="s">
        <v>8</v>
      </c>
      <c r="B10" s="11">
        <v>2589</v>
      </c>
      <c r="C10" s="20">
        <v>7.3214368482039358</v>
      </c>
      <c r="D10" s="12">
        <v>18.100000000000001</v>
      </c>
      <c r="E10" s="12">
        <v>-16.899999999999999</v>
      </c>
      <c r="F10" s="12">
        <v>4.5</v>
      </c>
      <c r="G10" s="13">
        <v>513.9</v>
      </c>
    </row>
    <row r="11" spans="1:7" x14ac:dyDescent="0.2">
      <c r="A11" s="33" t="s">
        <v>9</v>
      </c>
      <c r="B11" s="11">
        <v>2351</v>
      </c>
      <c r="C11" s="20">
        <v>68.196478094427903</v>
      </c>
      <c r="D11" s="12">
        <v>16.48</v>
      </c>
      <c r="E11" s="12">
        <v>5.04</v>
      </c>
      <c r="F11" s="12">
        <v>68.81</v>
      </c>
      <c r="G11" s="13">
        <v>133.11000000000001</v>
      </c>
    </row>
    <row r="12" spans="1:7" x14ac:dyDescent="0.2">
      <c r="A12" s="33" t="s">
        <v>6</v>
      </c>
      <c r="B12" s="11">
        <v>2340</v>
      </c>
      <c r="C12" s="20">
        <v>37.624487179487183</v>
      </c>
      <c r="D12" s="12">
        <v>10.32</v>
      </c>
      <c r="E12" s="12">
        <v>11.6</v>
      </c>
      <c r="F12" s="12">
        <v>37</v>
      </c>
      <c r="G12" s="13">
        <v>68.2</v>
      </c>
    </row>
    <row r="13" spans="1:7" x14ac:dyDescent="0.2">
      <c r="A13" s="33" t="s">
        <v>7</v>
      </c>
      <c r="B13" s="11">
        <v>2338</v>
      </c>
      <c r="C13" s="20">
        <v>34.142266894781862</v>
      </c>
      <c r="D13" s="12">
        <v>27.94</v>
      </c>
      <c r="E13" s="12">
        <v>0</v>
      </c>
      <c r="F13" s="12">
        <v>25.98</v>
      </c>
      <c r="G13" s="13">
        <v>165.39</v>
      </c>
    </row>
    <row r="14" spans="1:7" x14ac:dyDescent="0.2">
      <c r="A14" s="33" t="s">
        <v>25</v>
      </c>
      <c r="B14" s="11">
        <v>2096</v>
      </c>
      <c r="C14" s="26">
        <v>-3.9028781600007629E-3</v>
      </c>
      <c r="D14" s="12">
        <v>1.91</v>
      </c>
      <c r="E14" s="12">
        <v>-19.5</v>
      </c>
      <c r="F14" s="12">
        <v>0.01</v>
      </c>
      <c r="G14" s="13">
        <v>68.650000000000006</v>
      </c>
    </row>
    <row r="15" spans="1:7" x14ac:dyDescent="0.2">
      <c r="A15" s="33" t="s">
        <v>3</v>
      </c>
      <c r="B15" s="11">
        <v>2000</v>
      </c>
      <c r="C15" s="20">
        <v>6.954534999999999</v>
      </c>
      <c r="D15" s="12">
        <v>10.039999999999999</v>
      </c>
      <c r="E15" s="12">
        <v>-64.3</v>
      </c>
      <c r="F15" s="12">
        <v>6.41</v>
      </c>
      <c r="G15" s="13">
        <v>93.92</v>
      </c>
    </row>
    <row r="16" spans="1:7" x14ac:dyDescent="0.2">
      <c r="A16" s="33" t="s">
        <v>5</v>
      </c>
      <c r="B16" s="11">
        <v>1967</v>
      </c>
      <c r="C16" s="20">
        <v>47.560447381799698</v>
      </c>
      <c r="D16" s="12">
        <v>37.57</v>
      </c>
      <c r="E16" s="12">
        <v>7.4</v>
      </c>
      <c r="F16" s="12">
        <v>39.700000000000003</v>
      </c>
      <c r="G16" s="13">
        <v>339.1</v>
      </c>
    </row>
    <row r="17" spans="1:7" x14ac:dyDescent="0.2">
      <c r="A17" s="33" t="s">
        <v>4</v>
      </c>
      <c r="B17" s="11">
        <v>1840</v>
      </c>
      <c r="C17" s="20">
        <v>35.080375000000004</v>
      </c>
      <c r="D17" s="12">
        <v>10.57</v>
      </c>
      <c r="E17" s="12">
        <v>11.74</v>
      </c>
      <c r="F17" s="12">
        <v>34.64</v>
      </c>
      <c r="G17" s="13">
        <v>70.569999999999993</v>
      </c>
    </row>
    <row r="18" spans="1:7" x14ac:dyDescent="0.2">
      <c r="A18" s="33" t="s">
        <v>2</v>
      </c>
      <c r="B18" s="11">
        <v>1748</v>
      </c>
      <c r="C18" s="20">
        <v>8.9345823798627002</v>
      </c>
      <c r="D18" s="12">
        <v>7.43</v>
      </c>
      <c r="E18" s="12">
        <v>0.03</v>
      </c>
      <c r="F18" s="12">
        <v>7.07</v>
      </c>
      <c r="G18" s="13">
        <v>72.400000000000006</v>
      </c>
    </row>
  </sheetData>
  <sortState xmlns:xlrd2="http://schemas.microsoft.com/office/spreadsheetml/2017/richdata2" ref="A3:G18">
    <sortCondition descending="1" ref="B3:B18"/>
  </sortState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B21E-7996-524E-8E4B-0D260A0AC98F}">
  <dimension ref="A1:G19"/>
  <sheetViews>
    <sheetView tabSelected="1" workbookViewId="0">
      <selection activeCell="D30" sqref="D30"/>
    </sheetView>
  </sheetViews>
  <sheetFormatPr baseColWidth="10" defaultRowHeight="16" x14ac:dyDescent="0.2"/>
  <cols>
    <col min="1" max="1" width="44.83203125" bestFit="1" customWidth="1"/>
    <col min="2" max="7" width="9.6640625" customWidth="1"/>
  </cols>
  <sheetData>
    <row r="1" spans="1:7" ht="20" thickBot="1" x14ac:dyDescent="0.3">
      <c r="A1" s="29"/>
      <c r="B1" s="50" t="s">
        <v>26</v>
      </c>
      <c r="C1" s="51"/>
      <c r="D1" s="51"/>
      <c r="E1" s="51"/>
      <c r="F1" s="51"/>
      <c r="G1" s="52"/>
    </row>
    <row r="2" spans="1:7" ht="20" thickBot="1" x14ac:dyDescent="0.25">
      <c r="A2" s="42" t="s">
        <v>0</v>
      </c>
      <c r="B2" s="30" t="s">
        <v>19</v>
      </c>
      <c r="C2" s="31" t="s">
        <v>20</v>
      </c>
      <c r="D2" s="31" t="s">
        <v>21</v>
      </c>
      <c r="E2" s="31" t="s">
        <v>22</v>
      </c>
      <c r="F2" s="31" t="s">
        <v>23</v>
      </c>
      <c r="G2" s="32" t="s">
        <v>24</v>
      </c>
    </row>
    <row r="3" spans="1:7" x14ac:dyDescent="0.2">
      <c r="A3" s="33" t="s">
        <v>2</v>
      </c>
      <c r="B3" s="34">
        <v>2150</v>
      </c>
      <c r="C3" s="35">
        <v>8.0084232558139536</v>
      </c>
      <c r="D3" s="35">
        <v>6.4051627906976742</v>
      </c>
      <c r="E3" s="35">
        <v>6.8697674418604651E-2</v>
      </c>
      <c r="F3" s="35">
        <v>6.4098790697674417</v>
      </c>
      <c r="G3" s="43">
        <v>60.450158139534892</v>
      </c>
    </row>
    <row r="4" spans="1:7" x14ac:dyDescent="0.2">
      <c r="A4" s="33" t="s">
        <v>12</v>
      </c>
      <c r="B4" s="34">
        <v>3578</v>
      </c>
      <c r="C4" s="35">
        <v>-4.1517607602012285E-2</v>
      </c>
      <c r="D4" s="35">
        <v>0.68475125768585798</v>
      </c>
      <c r="E4" s="35">
        <v>-1.7494969256567916</v>
      </c>
      <c r="F4" s="35">
        <v>-6.322526551145892E-2</v>
      </c>
      <c r="G4" s="43">
        <v>2.3130016769144772</v>
      </c>
    </row>
    <row r="5" spans="1:7" x14ac:dyDescent="0.2">
      <c r="A5" s="33" t="s">
        <v>7</v>
      </c>
      <c r="B5" s="34">
        <v>3160</v>
      </c>
      <c r="C5" s="35">
        <v>50.533743670886075</v>
      </c>
      <c r="D5" s="35">
        <v>33.338101265822786</v>
      </c>
      <c r="E5" s="35">
        <v>5.1107594936708862E-2</v>
      </c>
      <c r="F5" s="35">
        <v>42.549620253164555</v>
      </c>
      <c r="G5" s="43">
        <v>202.8303481012658</v>
      </c>
    </row>
    <row r="6" spans="1:7" x14ac:dyDescent="0.2">
      <c r="A6" s="33" t="s">
        <v>15</v>
      </c>
      <c r="B6" s="34">
        <v>3815</v>
      </c>
      <c r="C6" s="35">
        <v>3.7555648754914808</v>
      </c>
      <c r="D6" s="35">
        <v>4.952495412844037</v>
      </c>
      <c r="E6" s="35">
        <v>-42.359795543905634</v>
      </c>
      <c r="F6" s="35">
        <v>3.8130039318479687</v>
      </c>
      <c r="G6" s="43">
        <v>69.871009174311936</v>
      </c>
    </row>
    <row r="7" spans="1:7" x14ac:dyDescent="0.2">
      <c r="A7" s="33" t="s">
        <v>16</v>
      </c>
      <c r="B7" s="34">
        <v>3866</v>
      </c>
      <c r="C7" s="37">
        <v>14367.684536989136</v>
      </c>
      <c r="D7" s="35">
        <v>10802.73355923435</v>
      </c>
      <c r="E7" s="35">
        <v>4046.826223486808</v>
      </c>
      <c r="F7" s="35">
        <v>11182.193812726333</v>
      </c>
      <c r="G7" s="43">
        <v>67695.467599586133</v>
      </c>
    </row>
    <row r="8" spans="1:7" x14ac:dyDescent="0.2">
      <c r="A8" s="33" t="s">
        <v>9</v>
      </c>
      <c r="B8" s="34">
        <v>3283</v>
      </c>
      <c r="C8" s="35">
        <v>63.153688699360337</v>
      </c>
      <c r="D8" s="35">
        <v>15.334444106000609</v>
      </c>
      <c r="E8" s="35">
        <v>6.8483338409990866</v>
      </c>
      <c r="F8" s="35">
        <v>64.483420651842835</v>
      </c>
      <c r="G8" s="43">
        <v>116.27298507462687</v>
      </c>
    </row>
    <row r="9" spans="1:7" x14ac:dyDescent="0.2">
      <c r="A9" s="33" t="s">
        <v>8</v>
      </c>
      <c r="B9" s="34">
        <v>3520</v>
      </c>
      <c r="C9" s="35">
        <v>5.8469602272727288</v>
      </c>
      <c r="D9" s="35">
        <v>13.452883522727273</v>
      </c>
      <c r="E9" s="35">
        <v>-13.678409090909089</v>
      </c>
      <c r="F9" s="35">
        <v>3.8288352272727271</v>
      </c>
      <c r="G9" s="43">
        <v>392.63394886363636</v>
      </c>
    </row>
    <row r="10" spans="1:7" x14ac:dyDescent="0.2">
      <c r="A10" s="33" t="s">
        <v>6</v>
      </c>
      <c r="B10" s="34">
        <v>3146</v>
      </c>
      <c r="C10" s="35">
        <v>32.875270184361092</v>
      </c>
      <c r="D10" s="35">
        <v>9.7883471074380157</v>
      </c>
      <c r="E10" s="35">
        <v>10.676605212968848</v>
      </c>
      <c r="F10" s="35">
        <v>31.998347107438011</v>
      </c>
      <c r="G10" s="43">
        <v>65.245136681500327</v>
      </c>
    </row>
    <row r="11" spans="1:7" x14ac:dyDescent="0.2">
      <c r="A11" s="33" t="s">
        <v>1</v>
      </c>
      <c r="B11" s="34">
        <v>486</v>
      </c>
      <c r="C11" s="35">
        <v>61.638888888888886</v>
      </c>
      <c r="D11" s="35">
        <v>19.886666666666667</v>
      </c>
      <c r="E11" s="35">
        <v>12.527777777777779</v>
      </c>
      <c r="F11" s="35">
        <v>61.789094650205762</v>
      </c>
      <c r="G11" s="43">
        <v>97.925308641975306</v>
      </c>
    </row>
    <row r="12" spans="1:7" x14ac:dyDescent="0.2">
      <c r="A12" s="33" t="s">
        <v>25</v>
      </c>
      <c r="B12" s="34">
        <v>2868</v>
      </c>
      <c r="C12" s="35">
        <v>-1.6920934813547655E-3</v>
      </c>
      <c r="D12" s="35">
        <v>1.4915062761506275</v>
      </c>
      <c r="E12" s="35">
        <v>-15.009163179916317</v>
      </c>
      <c r="F12" s="35">
        <v>0.01</v>
      </c>
      <c r="G12" s="43">
        <v>50.157991631799163</v>
      </c>
    </row>
    <row r="13" spans="1:7" x14ac:dyDescent="0.2">
      <c r="A13" s="33" t="s">
        <v>10</v>
      </c>
      <c r="B13" s="34">
        <v>3695</v>
      </c>
      <c r="C13" s="35">
        <v>3.3612990527740143</v>
      </c>
      <c r="D13" s="35">
        <v>1.9583085250338295</v>
      </c>
      <c r="E13" s="35">
        <v>1</v>
      </c>
      <c r="F13" s="35">
        <v>3.2246278755074425</v>
      </c>
      <c r="G13" s="43">
        <v>7</v>
      </c>
    </row>
    <row r="14" spans="1:7" x14ac:dyDescent="0.2">
      <c r="A14" s="33" t="s">
        <v>14</v>
      </c>
      <c r="B14" s="34">
        <v>3619</v>
      </c>
      <c r="C14" s="35">
        <v>-5.619784470848297E-2</v>
      </c>
      <c r="D14" s="35">
        <v>0.81115777839182102</v>
      </c>
      <c r="E14" s="35">
        <v>-2.636957723127936</v>
      </c>
      <c r="F14" s="35">
        <v>1.72257529704338E-2</v>
      </c>
      <c r="G14" s="43">
        <v>1.6151174357557339</v>
      </c>
    </row>
    <row r="15" spans="1:7" x14ac:dyDescent="0.2">
      <c r="A15" s="33" t="s">
        <v>3</v>
      </c>
      <c r="B15" s="34">
        <v>2521</v>
      </c>
      <c r="C15" s="35">
        <v>6.3316342721142416</v>
      </c>
      <c r="D15" s="35">
        <v>9.3362792542641806</v>
      </c>
      <c r="E15" s="35">
        <v>-54.910773502578344</v>
      </c>
      <c r="F15" s="35">
        <v>5.7702618008726692</v>
      </c>
      <c r="G15" s="43">
        <v>85.701547005156684</v>
      </c>
    </row>
    <row r="16" spans="1:7" x14ac:dyDescent="0.2">
      <c r="A16" s="33" t="s">
        <v>11</v>
      </c>
      <c r="B16" s="34">
        <v>3568</v>
      </c>
      <c r="C16" s="35">
        <v>1.0238228699551499E-2</v>
      </c>
      <c r="D16" s="35">
        <v>0.66517937219730927</v>
      </c>
      <c r="E16" s="35">
        <v>-2.3400672645739911</v>
      </c>
      <c r="F16" s="35">
        <v>1.0560538116591946E-2</v>
      </c>
      <c r="G16" s="43">
        <v>1.7965022421524663</v>
      </c>
    </row>
    <row r="17" spans="1:7" x14ac:dyDescent="0.2">
      <c r="A17" s="33" t="s">
        <v>4</v>
      </c>
      <c r="B17" s="34">
        <v>2507</v>
      </c>
      <c r="C17" s="35">
        <v>30.284295971280415</v>
      </c>
      <c r="D17" s="35">
        <v>9.7673633825289201</v>
      </c>
      <c r="E17" s="35">
        <v>9.624650977263661</v>
      </c>
      <c r="F17" s="35">
        <v>29.218504188272835</v>
      </c>
      <c r="G17" s="43">
        <v>62.455001994415625</v>
      </c>
    </row>
    <row r="18" spans="1:7" x14ac:dyDescent="0.2">
      <c r="A18" s="33" t="s">
        <v>5</v>
      </c>
      <c r="B18" s="34">
        <v>2599</v>
      </c>
      <c r="C18" s="35">
        <v>44.682300884955744</v>
      </c>
      <c r="D18" s="35">
        <v>31.782393228164679</v>
      </c>
      <c r="E18" s="35">
        <v>7.5652943439784535</v>
      </c>
      <c r="F18" s="35">
        <v>38.721469796075411</v>
      </c>
      <c r="G18" s="43">
        <v>274.88314736437093</v>
      </c>
    </row>
    <row r="19" spans="1:7" ht="17" thickBot="1" x14ac:dyDescent="0.25">
      <c r="A19" s="39" t="s">
        <v>13</v>
      </c>
      <c r="B19" s="40">
        <v>3631</v>
      </c>
      <c r="C19" s="41">
        <v>-5.3676673092811922E-3</v>
      </c>
      <c r="D19" s="41">
        <v>0.79557422197741678</v>
      </c>
      <c r="E19" s="41">
        <v>-2.1690057835307077</v>
      </c>
      <c r="F19" s="41">
        <v>8.1343982374001658E-2</v>
      </c>
      <c r="G19" s="44">
        <v>1.6570586615257508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Developed</vt:lpstr>
      <vt:lpstr>Emerging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Meshkovski Nikola</dc:creator>
  <cp:lastModifiedBy>Meshkovski Nikola</cp:lastModifiedBy>
  <dcterms:created xsi:type="dcterms:W3CDTF">2026-03-17T15:43:03Z</dcterms:created>
  <dcterms:modified xsi:type="dcterms:W3CDTF">2026-04-29T13:04:54Z</dcterms:modified>
</cp:coreProperties>
</file>